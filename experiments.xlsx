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ohs\Desktop\BMVC 2025\camera_ready\"/>
    </mc:Choice>
  </mc:AlternateContent>
  <xr:revisionPtr revIDLastSave="0" documentId="13_ncr:1_{1C96CD06-1AEF-4B2C-8C7A-9FF55E6D0849}" xr6:coauthVersionLast="47" xr6:coauthVersionMax="47" xr10:uidLastSave="{00000000-0000-0000-0000-000000000000}"/>
  <bookViews>
    <workbookView xWindow="19110" yWindow="0" windowWidth="19380" windowHeight="21690" xr2:uid="{00000000-000D-0000-FFFF-FFFF00000000}"/>
  </bookViews>
  <sheets>
    <sheet name="Sheet2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1" l="1"/>
  <c r="H59" i="1"/>
  <c r="G59" i="1"/>
  <c r="F59" i="1"/>
  <c r="E59" i="1"/>
  <c r="D59" i="1"/>
  <c r="I58" i="1"/>
  <c r="H58" i="1"/>
  <c r="G58" i="1"/>
  <c r="F58" i="1"/>
  <c r="E58" i="1"/>
  <c r="D58" i="1"/>
  <c r="AC20" i="1"/>
  <c r="AB20" i="1"/>
  <c r="AA20" i="1"/>
  <c r="Z20" i="1"/>
  <c r="Y20" i="1"/>
  <c r="X20" i="1"/>
  <c r="AC14" i="1"/>
  <c r="AB14" i="1"/>
  <c r="AA14" i="1"/>
  <c r="Z14" i="1"/>
  <c r="Y14" i="1"/>
  <c r="X14" i="1"/>
  <c r="AC8" i="1"/>
  <c r="AB8" i="1"/>
  <c r="AA8" i="1"/>
  <c r="Z8" i="1"/>
  <c r="Y8" i="1"/>
  <c r="X8" i="1"/>
  <c r="S32" i="1"/>
  <c r="R32" i="1"/>
  <c r="Q32" i="1"/>
  <c r="P32" i="1"/>
  <c r="O32" i="1"/>
  <c r="N32" i="1"/>
  <c r="M32" i="1"/>
  <c r="S26" i="1"/>
  <c r="R26" i="1"/>
  <c r="Q26" i="1"/>
  <c r="P26" i="1"/>
  <c r="O26" i="1"/>
  <c r="N26" i="1"/>
  <c r="M26" i="1"/>
  <c r="S20" i="1"/>
  <c r="R20" i="1"/>
  <c r="Q20" i="1"/>
  <c r="P20" i="1"/>
  <c r="O20" i="1"/>
  <c r="N20" i="1"/>
  <c r="M20" i="1"/>
  <c r="S14" i="1"/>
  <c r="R14" i="1"/>
  <c r="Q14" i="1"/>
  <c r="P14" i="1"/>
  <c r="O14" i="1"/>
  <c r="N14" i="1"/>
  <c r="M14" i="1"/>
  <c r="S8" i="1"/>
  <c r="R8" i="1"/>
  <c r="Q8" i="1"/>
  <c r="P8" i="1"/>
  <c r="O8" i="1"/>
  <c r="N8" i="1"/>
  <c r="M8" i="1"/>
  <c r="I52" i="1"/>
  <c r="H52" i="1"/>
  <c r="G52" i="1"/>
  <c r="F52" i="1"/>
  <c r="E52" i="1"/>
  <c r="D52" i="1"/>
  <c r="I46" i="1"/>
  <c r="E46" i="1"/>
  <c r="F46" i="1"/>
  <c r="G46" i="1"/>
  <c r="H46" i="1"/>
  <c r="D46" i="1"/>
  <c r="I53" i="1"/>
  <c r="H53" i="1"/>
  <c r="G53" i="1"/>
  <c r="F53" i="1"/>
  <c r="E53" i="1"/>
  <c r="D53" i="1"/>
  <c r="I47" i="1"/>
  <c r="H47" i="1"/>
  <c r="G47" i="1"/>
  <c r="F47" i="1"/>
  <c r="E47" i="1"/>
  <c r="D47" i="1"/>
  <c r="I38" i="1"/>
  <c r="H38" i="1"/>
  <c r="G38" i="1"/>
  <c r="F38" i="1"/>
  <c r="E38" i="1"/>
  <c r="D38" i="1"/>
  <c r="I32" i="1"/>
  <c r="H32" i="1"/>
  <c r="G32" i="1"/>
  <c r="F32" i="1"/>
  <c r="E32" i="1"/>
  <c r="D32" i="1"/>
  <c r="I26" i="1"/>
  <c r="H26" i="1"/>
  <c r="G26" i="1"/>
  <c r="F26" i="1"/>
  <c r="E26" i="1"/>
  <c r="D26" i="1"/>
  <c r="I20" i="1"/>
  <c r="H20" i="1"/>
  <c r="G20" i="1"/>
  <c r="F20" i="1"/>
  <c r="E20" i="1"/>
  <c r="D20" i="1"/>
  <c r="I14" i="1"/>
  <c r="H14" i="1"/>
  <c r="G14" i="1"/>
  <c r="F14" i="1"/>
  <c r="E14" i="1"/>
  <c r="D14" i="1"/>
  <c r="E8" i="1"/>
  <c r="F8" i="1"/>
  <c r="G8" i="1"/>
  <c r="H8" i="1"/>
  <c r="I8" i="1"/>
  <c r="D8" i="1"/>
  <c r="I37" i="1"/>
  <c r="H37" i="1"/>
  <c r="G37" i="1"/>
  <c r="F37" i="1"/>
  <c r="E37" i="1"/>
  <c r="D37" i="1"/>
  <c r="S31" i="1"/>
  <c r="R31" i="1"/>
  <c r="Q31" i="1"/>
  <c r="P31" i="1"/>
  <c r="O31" i="1"/>
  <c r="N31" i="1"/>
  <c r="M31" i="1"/>
  <c r="T31" i="1" s="1"/>
  <c r="I31" i="1"/>
  <c r="H31" i="1"/>
  <c r="G31" i="1"/>
  <c r="F31" i="1"/>
  <c r="E31" i="1"/>
  <c r="D31" i="1"/>
  <c r="T30" i="1"/>
  <c r="T29" i="1"/>
  <c r="T28" i="1"/>
  <c r="T32" i="1" s="1"/>
  <c r="S25" i="1"/>
  <c r="R25" i="1"/>
  <c r="Q25" i="1"/>
  <c r="P25" i="1"/>
  <c r="O25" i="1"/>
  <c r="N25" i="1"/>
  <c r="M25" i="1"/>
  <c r="T25" i="1" s="1"/>
  <c r="I25" i="1"/>
  <c r="H25" i="1"/>
  <c r="G25" i="1"/>
  <c r="F25" i="1"/>
  <c r="E25" i="1"/>
  <c r="D25" i="1"/>
  <c r="T24" i="1"/>
  <c r="T23" i="1"/>
  <c r="T22" i="1"/>
  <c r="AC19" i="1"/>
  <c r="AB19" i="1"/>
  <c r="AA19" i="1"/>
  <c r="Z19" i="1"/>
  <c r="Y19" i="1"/>
  <c r="X19" i="1"/>
  <c r="S19" i="1"/>
  <c r="R19" i="1"/>
  <c r="Q19" i="1"/>
  <c r="P19" i="1"/>
  <c r="O19" i="1"/>
  <c r="N19" i="1"/>
  <c r="M19" i="1"/>
  <c r="I19" i="1"/>
  <c r="H19" i="1"/>
  <c r="G19" i="1"/>
  <c r="F19" i="1"/>
  <c r="E19" i="1"/>
  <c r="D19" i="1"/>
  <c r="AD18" i="1"/>
  <c r="T18" i="1"/>
  <c r="AD17" i="1"/>
  <c r="T17" i="1"/>
  <c r="AD16" i="1"/>
  <c r="T16" i="1"/>
  <c r="AC13" i="1"/>
  <c r="AB13" i="1"/>
  <c r="AA13" i="1"/>
  <c r="Z13" i="1"/>
  <c r="Y13" i="1"/>
  <c r="X13" i="1"/>
  <c r="S13" i="1"/>
  <c r="R13" i="1"/>
  <c r="Q13" i="1"/>
  <c r="P13" i="1"/>
  <c r="O13" i="1"/>
  <c r="N13" i="1"/>
  <c r="M13" i="1"/>
  <c r="I13" i="1"/>
  <c r="H13" i="1"/>
  <c r="G13" i="1"/>
  <c r="F13" i="1"/>
  <c r="E13" i="1"/>
  <c r="D13" i="1"/>
  <c r="AD12" i="1"/>
  <c r="T12" i="1"/>
  <c r="AD11" i="1"/>
  <c r="T11" i="1"/>
  <c r="AD10" i="1"/>
  <c r="T10" i="1"/>
  <c r="T14" i="1" s="1"/>
  <c r="AC7" i="1"/>
  <c r="AB7" i="1"/>
  <c r="AA7" i="1"/>
  <c r="Z7" i="1"/>
  <c r="Y7" i="1"/>
  <c r="X7" i="1"/>
  <c r="S7" i="1"/>
  <c r="R7" i="1"/>
  <c r="Q7" i="1"/>
  <c r="P7" i="1"/>
  <c r="O7" i="1"/>
  <c r="N7" i="1"/>
  <c r="M7" i="1"/>
  <c r="I7" i="1"/>
  <c r="H7" i="1"/>
  <c r="G7" i="1"/>
  <c r="F7" i="1"/>
  <c r="E7" i="1"/>
  <c r="D7" i="1"/>
  <c r="AD6" i="1"/>
  <c r="T6" i="1"/>
  <c r="AD5" i="1"/>
  <c r="T5" i="1"/>
  <c r="AD4" i="1"/>
  <c r="T4" i="1"/>
  <c r="AD13" i="1" l="1"/>
  <c r="T26" i="1"/>
  <c r="AD14" i="1"/>
  <c r="AD8" i="1"/>
  <c r="T8" i="1"/>
  <c r="T20" i="1"/>
  <c r="AD19" i="1"/>
  <c r="AD20" i="1"/>
  <c r="T13" i="1"/>
  <c r="T7" i="1"/>
  <c r="T19" i="1"/>
  <c r="AD7" i="1"/>
</calcChain>
</file>

<file path=xl/sharedStrings.xml><?xml version="1.0" encoding="utf-8"?>
<sst xmlns="http://schemas.openxmlformats.org/spreadsheetml/2006/main" count="240" uniqueCount="88">
  <si>
    <t>Total</t>
  </si>
  <si>
    <t>class6</t>
  </si>
  <si>
    <t>ETE42</t>
  </si>
  <si>
    <t>FOMI43</t>
  </si>
  <si>
    <t>class3</t>
  </si>
  <si>
    <t>ETE44</t>
  </si>
  <si>
    <t>DECAF42</t>
  </si>
  <si>
    <t>Proto44</t>
  </si>
  <si>
    <t>FOMI</t>
  </si>
  <si>
    <t>class5</t>
  </si>
  <si>
    <t>Dent</t>
  </si>
  <si>
    <t>MHAF44</t>
  </si>
  <si>
    <t>SN_MRF</t>
  </si>
  <si>
    <t>Proto</t>
  </si>
  <si>
    <t>Down</t>
  </si>
  <si>
    <t>FOMI42</t>
  </si>
  <si>
    <t>class1</t>
  </si>
  <si>
    <t>Proto42</t>
  </si>
  <si>
    <t>Scratch</t>
  </si>
  <si>
    <t>DECAF44</t>
  </si>
  <si>
    <t>Right</t>
  </si>
  <si>
    <t>MHAF</t>
  </si>
  <si>
    <t>Proto43</t>
  </si>
  <si>
    <t>FOMI44</t>
  </si>
  <si>
    <t>Fusion</t>
  </si>
  <si>
    <t>MHAfF43</t>
  </si>
  <si>
    <t>DECAF</t>
  </si>
  <si>
    <t>Left</t>
  </si>
  <si>
    <t>ETE43</t>
  </si>
  <si>
    <t>class</t>
  </si>
  <si>
    <t>MHAF42</t>
  </si>
  <si>
    <t>Spot</t>
  </si>
  <si>
    <t>class2</t>
  </si>
  <si>
    <t>DECAF43</t>
  </si>
  <si>
    <t>class4</t>
  </si>
  <si>
    <t>Upper</t>
  </si>
  <si>
    <t>Normal</t>
  </si>
  <si>
    <t>MD</t>
  </si>
  <si>
    <t>ETE</t>
  </si>
  <si>
    <t>SD</t>
  </si>
  <si>
    <t>SN_MRF_AUG43</t>
  </si>
  <si>
    <t>SN_MRF_aug42</t>
  </si>
  <si>
    <t>SN_MRF_AUG44</t>
  </si>
  <si>
    <t>epoch200</t>
  </si>
  <si>
    <t>epoch400</t>
  </si>
  <si>
    <t>Squalidity</t>
  </si>
  <si>
    <t>SN_MRF43</t>
  </si>
  <si>
    <t>epoch500</t>
  </si>
  <si>
    <t>epoch300</t>
  </si>
  <si>
    <t>BrightLine</t>
  </si>
  <si>
    <t>SN_MRF42</t>
  </si>
  <si>
    <t>epoch1000</t>
  </si>
  <si>
    <t>lr: 0.001</t>
  </si>
  <si>
    <t>SEED: 42</t>
  </si>
  <si>
    <t>Deformation</t>
  </si>
  <si>
    <t>epoch700</t>
  </si>
  <si>
    <t>epoch900</t>
  </si>
  <si>
    <t>lr: 0.0025</t>
  </si>
  <si>
    <t>DAGM2007</t>
  </si>
  <si>
    <t>epoch600</t>
  </si>
  <si>
    <t>epoch4000</t>
  </si>
  <si>
    <t>Uniformity</t>
  </si>
  <si>
    <t>epoch100</t>
  </si>
  <si>
    <t>SN_MRF44</t>
  </si>
  <si>
    <t>epoch800</t>
  </si>
  <si>
    <t>local42</t>
    <phoneticPr fontId="5" type="noConversion"/>
  </si>
  <si>
    <t>local43</t>
    <phoneticPr fontId="5" type="noConversion"/>
  </si>
  <si>
    <t>local44</t>
    <phoneticPr fontId="5" type="noConversion"/>
  </si>
  <si>
    <t>global42</t>
    <phoneticPr fontId="5" type="noConversion"/>
  </si>
  <si>
    <t>global43</t>
    <phoneticPr fontId="5" type="noConversion"/>
  </si>
  <si>
    <t>global44</t>
    <phoneticPr fontId="5" type="noConversion"/>
  </si>
  <si>
    <t>local</t>
    <phoneticPr fontId="5" type="noConversion"/>
  </si>
  <si>
    <t>global</t>
    <phoneticPr fontId="5" type="noConversion"/>
  </si>
  <si>
    <t>Dev</t>
    <phoneticPr fontId="5" type="noConversion"/>
  </si>
  <si>
    <t>Ablation study</t>
    <phoneticPr fontId="5" type="noConversion"/>
  </si>
  <si>
    <t>SN_MRF_AUG</t>
    <phoneticPr fontId="5" type="noConversion"/>
  </si>
  <si>
    <t>Inference time</t>
    <phoneticPr fontId="5" type="noConversion"/>
  </si>
  <si>
    <t>batch_size=1</t>
    <phoneticPr fontId="5" type="noConversion"/>
  </si>
  <si>
    <t># of parameter</t>
    <phoneticPr fontId="5" type="noConversion"/>
  </si>
  <si>
    <t>memory size (MB)</t>
    <phoneticPr fontId="5" type="noConversion"/>
  </si>
  <si>
    <t>latency (ms/sample)</t>
    <phoneticPr fontId="5" type="noConversion"/>
  </si>
  <si>
    <t>FPS (samples/sec)</t>
    <phoneticPr fontId="5" type="noConversion"/>
  </si>
  <si>
    <t>FLOPs (GFLOPs)</t>
    <phoneticPr fontId="5" type="noConversion"/>
  </si>
  <si>
    <t>input=(1,4,3,200,200)</t>
    <phoneticPr fontId="5" type="noConversion"/>
  </si>
  <si>
    <t>mean42</t>
    <phoneticPr fontId="5" type="noConversion"/>
  </si>
  <si>
    <t>mean43</t>
    <phoneticPr fontId="5" type="noConversion"/>
  </si>
  <si>
    <t>mean44</t>
    <phoneticPr fontId="5" type="noConversion"/>
  </si>
  <si>
    <t>mean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</si>
</sst>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76" formatCode="0.00_ "/>
    <numFmt numFmtId="177" formatCode="0.0_ "/>
  </numFmts>
  <fonts count="7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sz val="1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</cellStyleXfs>
  <cellXfs count="15">
    <xf numFmtId="0" fontId="0" fillId="0" borderId="0" xfId="0" applyAlignment="1"/>
    <xf numFmtId="0" fontId="2" fillId="0" borderId="0" xfId="0" applyFont="1" applyAlignment="1"/>
    <xf numFmtId="176" fontId="0" fillId="0" borderId="0" xfId="0" applyNumberFormat="1" applyAlignment="1"/>
    <xf numFmtId="176" fontId="0" fillId="0" borderId="0" xfId="1" applyNumberFormat="1" applyFont="1" applyAlignment="1"/>
    <xf numFmtId="176" fontId="3" fillId="0" borderId="0" xfId="0" applyNumberFormat="1" applyFont="1" applyAlignment="1"/>
    <xf numFmtId="0" fontId="3" fillId="0" borderId="0" xfId="0" applyFont="1" applyAlignment="1"/>
    <xf numFmtId="0" fontId="3" fillId="0" borderId="0" xfId="1" applyNumberFormat="1" applyFont="1" applyAlignment="1"/>
    <xf numFmtId="0" fontId="1" fillId="0" borderId="0" xfId="0" applyFont="1" applyAlignment="1"/>
    <xf numFmtId="0" fontId="1" fillId="0" borderId="0" xfId="1" applyNumberFormat="1" applyFont="1" applyAlignment="1"/>
    <xf numFmtId="3" fontId="0" fillId="0" borderId="0" xfId="0" applyNumberFormat="1" applyAlignment="1"/>
    <xf numFmtId="4" fontId="0" fillId="0" borderId="0" xfId="0" applyNumberFormat="1" applyAlignment="1"/>
    <xf numFmtId="177" fontId="1" fillId="0" borderId="0" xfId="0" applyNumberFormat="1" applyFont="1" applyAlignment="1"/>
    <xf numFmtId="177" fontId="6" fillId="0" borderId="0" xfId="0" applyNumberFormat="1" applyFont="1" applyAlignment="1"/>
    <xf numFmtId="0" fontId="6" fillId="0" borderId="0" xfId="0" applyFont="1" applyAlignment="1"/>
    <xf numFmtId="3" fontId="6" fillId="0" borderId="0" xfId="0" applyNumberFormat="1" applyFont="1" applyAlignment="1"/>
  </cellXfs>
  <cellStyles count="2">
    <cellStyle name="쉼표" xfId="1" builtinId="3"/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C3:AE71"/>
  <sheetViews>
    <sheetView tabSelected="1" topLeftCell="A31" zoomScaleNormal="100" zoomScaleSheetLayoutView="100" workbookViewId="0">
      <selection activeCell="G68" sqref="G68"/>
    </sheetView>
  </sheetViews>
  <sheetFormatPr defaultColWidth="8.6640625" defaultRowHeight="17"/>
  <cols>
    <col min="3" max="3" width="12.08203125" customWidth="1"/>
    <col min="4" max="4" width="10.58203125" customWidth="1"/>
    <col min="5" max="5" width="12.6640625" customWidth="1"/>
    <col min="6" max="9" width="8.6640625" bestFit="1" customWidth="1"/>
    <col min="12" max="12" width="16.6640625" customWidth="1"/>
    <col min="13" max="13" width="17" customWidth="1"/>
    <col min="14" max="14" width="19.83203125" customWidth="1"/>
    <col min="15" max="15" width="16" customWidth="1"/>
    <col min="16" max="16" width="17.83203125" customWidth="1"/>
    <col min="17" max="17" width="18.5" customWidth="1"/>
    <col min="18" max="18" width="12.9140625" customWidth="1"/>
    <col min="19" max="19" width="8.6640625" bestFit="1" customWidth="1"/>
    <col min="20" max="20" width="11.58203125" bestFit="1" customWidth="1"/>
    <col min="23" max="23" width="13.5" customWidth="1"/>
    <col min="24" max="29" width="8.6640625" bestFit="1" customWidth="1"/>
    <col min="30" max="30" width="11.58203125" bestFit="1" customWidth="1"/>
  </cols>
  <sheetData>
    <row r="3" spans="3:31">
      <c r="C3" t="s">
        <v>37</v>
      </c>
      <c r="D3" t="s">
        <v>49</v>
      </c>
      <c r="E3" t="s">
        <v>54</v>
      </c>
      <c r="F3" t="s">
        <v>10</v>
      </c>
      <c r="G3" t="s">
        <v>18</v>
      </c>
      <c r="H3" t="s">
        <v>36</v>
      </c>
      <c r="I3" t="s">
        <v>0</v>
      </c>
      <c r="L3" t="s">
        <v>39</v>
      </c>
      <c r="M3" t="s">
        <v>49</v>
      </c>
      <c r="N3" t="s">
        <v>54</v>
      </c>
      <c r="O3" t="s">
        <v>10</v>
      </c>
      <c r="P3" t="s">
        <v>18</v>
      </c>
      <c r="Q3" t="s">
        <v>31</v>
      </c>
      <c r="R3" t="s">
        <v>45</v>
      </c>
      <c r="S3" t="s">
        <v>36</v>
      </c>
      <c r="T3" t="s">
        <v>0</v>
      </c>
      <c r="W3" t="s">
        <v>58</v>
      </c>
      <c r="X3" t="s">
        <v>16</v>
      </c>
      <c r="Y3" t="s">
        <v>32</v>
      </c>
      <c r="Z3" t="s">
        <v>4</v>
      </c>
      <c r="AA3" t="s">
        <v>34</v>
      </c>
      <c r="AB3" t="s">
        <v>9</v>
      </c>
      <c r="AC3" t="s">
        <v>1</v>
      </c>
      <c r="AD3" t="s">
        <v>0</v>
      </c>
    </row>
    <row r="4" spans="3:31">
      <c r="C4" t="s">
        <v>2</v>
      </c>
      <c r="D4">
        <v>70.27</v>
      </c>
      <c r="E4">
        <v>50</v>
      </c>
      <c r="F4">
        <v>85.71</v>
      </c>
      <c r="G4">
        <v>72.63</v>
      </c>
      <c r="H4">
        <v>77.16</v>
      </c>
      <c r="I4" s="2">
        <v>72.3</v>
      </c>
      <c r="L4" t="s">
        <v>2</v>
      </c>
      <c r="M4">
        <v>85</v>
      </c>
      <c r="N4">
        <v>80</v>
      </c>
      <c r="O4">
        <v>79</v>
      </c>
      <c r="P4">
        <v>80.67</v>
      </c>
      <c r="Q4">
        <v>70</v>
      </c>
      <c r="R4">
        <v>78.67</v>
      </c>
      <c r="S4">
        <v>91.67</v>
      </c>
      <c r="T4" s="2">
        <f>AVERAGE(M4:S4)</f>
        <v>80.715714285714284</v>
      </c>
      <c r="W4" t="s">
        <v>6</v>
      </c>
      <c r="X4">
        <v>36.67</v>
      </c>
      <c r="Y4">
        <v>83.33</v>
      </c>
      <c r="Z4">
        <v>5.67</v>
      </c>
      <c r="AA4">
        <v>80</v>
      </c>
      <c r="AB4">
        <v>6.6369999999999996</v>
      </c>
      <c r="AC4">
        <v>70</v>
      </c>
      <c r="AD4" s="3">
        <f>AVERAGE(X4:AC4)</f>
        <v>47.051166666666667</v>
      </c>
    </row>
    <row r="5" spans="3:31">
      <c r="C5" t="s">
        <v>28</v>
      </c>
      <c r="D5">
        <v>64.86</v>
      </c>
      <c r="E5">
        <v>53.12</v>
      </c>
      <c r="F5">
        <v>78.569999999999993</v>
      </c>
      <c r="G5">
        <v>73.739999999999995</v>
      </c>
      <c r="H5">
        <v>71.069999999999993</v>
      </c>
      <c r="I5" s="2">
        <v>69.599999999999994</v>
      </c>
      <c r="L5" t="s">
        <v>28</v>
      </c>
      <c r="M5">
        <v>90</v>
      </c>
      <c r="N5">
        <v>75.33</v>
      </c>
      <c r="O5">
        <v>80.67</v>
      </c>
      <c r="P5">
        <v>78.67</v>
      </c>
      <c r="Q5">
        <v>73.67</v>
      </c>
      <c r="R5">
        <v>82.33</v>
      </c>
      <c r="S5">
        <v>93.33</v>
      </c>
      <c r="T5" s="2">
        <f>AVERAGE(M5:S5)</f>
        <v>82</v>
      </c>
      <c r="W5" t="s">
        <v>33</v>
      </c>
      <c r="X5">
        <v>13.33</v>
      </c>
      <c r="Y5">
        <v>43.33</v>
      </c>
      <c r="Z5">
        <v>3.33</v>
      </c>
      <c r="AA5">
        <v>60</v>
      </c>
      <c r="AB5">
        <v>3.33</v>
      </c>
      <c r="AC5">
        <v>66.67</v>
      </c>
      <c r="AD5" s="3">
        <f t="shared" ref="AD5:AD6" si="0">AVERAGE(X5:AC5)</f>
        <v>31.665000000000003</v>
      </c>
    </row>
    <row r="6" spans="3:31">
      <c r="C6" t="s">
        <v>5</v>
      </c>
      <c r="D6">
        <v>70.27</v>
      </c>
      <c r="E6">
        <v>53.12</v>
      </c>
      <c r="F6">
        <v>69.05</v>
      </c>
      <c r="G6">
        <v>77.09</v>
      </c>
      <c r="H6">
        <v>73.599999999999994</v>
      </c>
      <c r="I6" s="2">
        <v>71.58</v>
      </c>
      <c r="L6" t="s">
        <v>5</v>
      </c>
      <c r="M6">
        <v>89</v>
      </c>
      <c r="N6">
        <v>80.67</v>
      </c>
      <c r="O6">
        <v>73.67</v>
      </c>
      <c r="P6">
        <v>82.7</v>
      </c>
      <c r="Q6">
        <v>66.33</v>
      </c>
      <c r="R6">
        <v>78.67</v>
      </c>
      <c r="S6">
        <v>92.33</v>
      </c>
      <c r="T6" s="2">
        <f>AVERAGE(M6:S6)</f>
        <v>80.481428571428566</v>
      </c>
      <c r="W6" t="s">
        <v>19</v>
      </c>
      <c r="X6">
        <v>23.33</v>
      </c>
      <c r="Y6">
        <v>53.33</v>
      </c>
      <c r="Z6">
        <v>0</v>
      </c>
      <c r="AA6">
        <v>70</v>
      </c>
      <c r="AB6">
        <v>3.33</v>
      </c>
      <c r="AC6">
        <v>60</v>
      </c>
      <c r="AD6" s="3">
        <f t="shared" si="0"/>
        <v>34.998333333333335</v>
      </c>
    </row>
    <row r="7" spans="3:31">
      <c r="C7" s="5" t="s">
        <v>38</v>
      </c>
      <c r="D7" s="4">
        <f>AVERAGE(D4:D6)</f>
        <v>68.466666666666654</v>
      </c>
      <c r="E7" s="4">
        <f t="shared" ref="E7:I7" si="1">AVERAGE(E4:E6)</f>
        <v>52.080000000000005</v>
      </c>
      <c r="F7" s="4">
        <f t="shared" si="1"/>
        <v>77.776666666666657</v>
      </c>
      <c r="G7" s="4">
        <f t="shared" si="1"/>
        <v>74.486666666666665</v>
      </c>
      <c r="H7" s="4">
        <f t="shared" si="1"/>
        <v>73.943333333333328</v>
      </c>
      <c r="I7" s="4">
        <f t="shared" si="1"/>
        <v>71.159999999999982</v>
      </c>
      <c r="L7" s="5" t="s">
        <v>38</v>
      </c>
      <c r="M7" s="4">
        <f>AVERAGE(M4:M6)</f>
        <v>88</v>
      </c>
      <c r="N7" s="4">
        <f t="shared" ref="N7:S7" si="2">AVERAGE(N4:N6)</f>
        <v>78.666666666666671</v>
      </c>
      <c r="O7" s="4">
        <f t="shared" si="2"/>
        <v>77.780000000000015</v>
      </c>
      <c r="P7" s="4">
        <f t="shared" si="2"/>
        <v>80.680000000000007</v>
      </c>
      <c r="Q7" s="4">
        <f t="shared" si="2"/>
        <v>70</v>
      </c>
      <c r="R7" s="4">
        <f t="shared" si="2"/>
        <v>79.89</v>
      </c>
      <c r="S7" s="4">
        <f t="shared" si="2"/>
        <v>92.443333333333328</v>
      </c>
      <c r="T7" s="4">
        <f>AVERAGE(M7:S7)</f>
        <v>81.065714285714293</v>
      </c>
      <c r="W7" s="5" t="s">
        <v>26</v>
      </c>
      <c r="X7" s="4">
        <f>AVERAGE(X4:X6)</f>
        <v>24.443333333333332</v>
      </c>
      <c r="Y7" s="4">
        <f t="shared" ref="Y7:AD7" si="3">AVERAGE(Y4:Y6)</f>
        <v>59.99666666666667</v>
      </c>
      <c r="Z7" s="4">
        <f t="shared" si="3"/>
        <v>3</v>
      </c>
      <c r="AA7" s="4">
        <f t="shared" si="3"/>
        <v>70</v>
      </c>
      <c r="AB7" s="4">
        <f t="shared" si="3"/>
        <v>4.4323333333333332</v>
      </c>
      <c r="AC7" s="4">
        <f t="shared" si="3"/>
        <v>65.556666666666672</v>
      </c>
      <c r="AD7" s="4">
        <f t="shared" si="3"/>
        <v>37.904833333333336</v>
      </c>
    </row>
    <row r="8" spans="3:31">
      <c r="C8" s="5" t="s">
        <v>73</v>
      </c>
      <c r="D8" s="5">
        <f>_xlfn.STDEV.S(D4:D6)</f>
        <v>3.1234649563158734</v>
      </c>
      <c r="E8" s="5">
        <f t="shared" ref="E8:I8" si="4">_xlfn.STDEV.S(E4:E6)</f>
        <v>1.8013328398716311</v>
      </c>
      <c r="F8" s="5">
        <f t="shared" si="4"/>
        <v>8.3582853105965054</v>
      </c>
      <c r="G8" s="5">
        <f t="shared" si="4"/>
        <v>2.3218598866713198</v>
      </c>
      <c r="H8" s="5">
        <f t="shared" si="4"/>
        <v>3.0594825270514856</v>
      </c>
      <c r="I8" s="5">
        <f t="shared" si="4"/>
        <v>1.3981416237277271</v>
      </c>
      <c r="L8" s="5" t="s">
        <v>73</v>
      </c>
      <c r="M8" s="5">
        <f>_xlfn.STDEV.S(M4:M6)</f>
        <v>2.6457513110645907</v>
      </c>
      <c r="N8" s="5">
        <f t="shared" ref="N8:T8" si="5">_xlfn.STDEV.S(N4:N6)</f>
        <v>2.9089918070241008</v>
      </c>
      <c r="O8" s="5">
        <f t="shared" si="5"/>
        <v>3.655995076583118</v>
      </c>
      <c r="P8" s="5">
        <f t="shared" si="5"/>
        <v>2.0150186103358951</v>
      </c>
      <c r="Q8" s="5">
        <f t="shared" si="5"/>
        <v>3.6700000000000017</v>
      </c>
      <c r="R8" s="5">
        <f t="shared" si="5"/>
        <v>2.1131019852340285</v>
      </c>
      <c r="S8" s="5">
        <f t="shared" si="5"/>
        <v>0.83578306595272123</v>
      </c>
      <c r="T8" s="5">
        <f t="shared" si="5"/>
        <v>0.81755109682415017</v>
      </c>
      <c r="W8" s="5" t="s">
        <v>73</v>
      </c>
      <c r="X8" s="5">
        <f>_xlfn.STDEV.S(X4:X6)</f>
        <v>11.709762309002413</v>
      </c>
      <c r="Y8" s="5">
        <f t="shared" ref="Y8:AD8" si="6">_xlfn.STDEV.S(Y4:Y6)</f>
        <v>20.816659994661322</v>
      </c>
      <c r="Z8" s="5">
        <f t="shared" si="6"/>
        <v>2.8493683510560723</v>
      </c>
      <c r="AA8" s="5">
        <f t="shared" si="6"/>
        <v>10</v>
      </c>
      <c r="AB8" s="5">
        <f t="shared" si="6"/>
        <v>1.9092973402100943</v>
      </c>
      <c r="AC8" s="5">
        <f t="shared" si="6"/>
        <v>5.0921148193391454</v>
      </c>
      <c r="AD8" s="5">
        <f t="shared" si="6"/>
        <v>8.0944016370026475</v>
      </c>
      <c r="AE8" s="5"/>
    </row>
    <row r="9" spans="3:31">
      <c r="I9" s="2"/>
      <c r="T9" s="2"/>
      <c r="AD9" s="3"/>
    </row>
    <row r="10" spans="3:31">
      <c r="C10" t="s">
        <v>6</v>
      </c>
      <c r="D10">
        <v>52.7</v>
      </c>
      <c r="E10">
        <v>53.12</v>
      </c>
      <c r="F10">
        <v>92.86</v>
      </c>
      <c r="G10">
        <v>76.540000000000006</v>
      </c>
      <c r="H10">
        <v>85.79</v>
      </c>
      <c r="I10" s="2">
        <v>75.180000000000007</v>
      </c>
      <c r="L10" t="s">
        <v>6</v>
      </c>
      <c r="M10">
        <v>90.67</v>
      </c>
      <c r="N10">
        <v>86.33</v>
      </c>
      <c r="O10">
        <v>88.33</v>
      </c>
      <c r="P10">
        <v>84.67</v>
      </c>
      <c r="Q10">
        <v>61</v>
      </c>
      <c r="R10">
        <v>82.33</v>
      </c>
      <c r="S10">
        <v>96.33</v>
      </c>
      <c r="T10" s="2">
        <f>AVERAGE(M10:S10)</f>
        <v>84.237142857142857</v>
      </c>
      <c r="W10" t="s">
        <v>50</v>
      </c>
      <c r="X10">
        <v>100</v>
      </c>
      <c r="Y10">
        <v>100</v>
      </c>
      <c r="Z10">
        <v>93.33</v>
      </c>
      <c r="AA10">
        <v>100</v>
      </c>
      <c r="AB10">
        <v>30</v>
      </c>
      <c r="AC10">
        <v>100</v>
      </c>
      <c r="AD10" s="3">
        <f>AVERAGE(X10:AC10)</f>
        <v>87.22166666666665</v>
      </c>
    </row>
    <row r="11" spans="3:31">
      <c r="C11" t="s">
        <v>33</v>
      </c>
      <c r="D11">
        <v>48.65</v>
      </c>
      <c r="E11">
        <v>48.44</v>
      </c>
      <c r="F11">
        <v>90.48</v>
      </c>
      <c r="G11">
        <v>79.33</v>
      </c>
      <c r="H11">
        <v>82.74</v>
      </c>
      <c r="I11" s="2">
        <v>73.739999999999995</v>
      </c>
      <c r="L11" t="s">
        <v>33</v>
      </c>
      <c r="M11">
        <v>94.67</v>
      </c>
      <c r="N11">
        <v>87.67</v>
      </c>
      <c r="O11">
        <v>87</v>
      </c>
      <c r="P11">
        <v>76.67</v>
      </c>
      <c r="Q11">
        <v>67</v>
      </c>
      <c r="R11">
        <v>83.67</v>
      </c>
      <c r="S11">
        <v>96</v>
      </c>
      <c r="T11" s="2">
        <f>AVERAGE(M11:S11)</f>
        <v>84.66857142857144</v>
      </c>
      <c r="W11" t="s">
        <v>46</v>
      </c>
      <c r="X11">
        <v>100</v>
      </c>
      <c r="Y11">
        <v>100</v>
      </c>
      <c r="Z11">
        <v>93.33</v>
      </c>
      <c r="AA11">
        <v>100</v>
      </c>
      <c r="AB11">
        <v>36.67</v>
      </c>
      <c r="AC11">
        <v>96.67</v>
      </c>
      <c r="AD11" s="2">
        <f>AVERAGE(X11:AC11)</f>
        <v>87.778333333333322</v>
      </c>
    </row>
    <row r="12" spans="3:31">
      <c r="C12" t="s">
        <v>19</v>
      </c>
      <c r="D12">
        <v>50</v>
      </c>
      <c r="E12">
        <v>56.25</v>
      </c>
      <c r="F12">
        <v>92.86</v>
      </c>
      <c r="G12">
        <v>79.89</v>
      </c>
      <c r="H12">
        <v>71.569999999999993</v>
      </c>
      <c r="I12" s="2">
        <v>71.22</v>
      </c>
      <c r="L12" t="s">
        <v>19</v>
      </c>
      <c r="M12">
        <v>90.33</v>
      </c>
      <c r="N12">
        <v>90</v>
      </c>
      <c r="O12">
        <v>86.67</v>
      </c>
      <c r="P12">
        <v>78.33</v>
      </c>
      <c r="Q12">
        <v>70.67</v>
      </c>
      <c r="R12">
        <v>83.33</v>
      </c>
      <c r="S12">
        <v>96.67</v>
      </c>
      <c r="T12" s="2">
        <f>AVERAGE(M12:S12)</f>
        <v>85.142857142857139</v>
      </c>
      <c r="W12" t="s">
        <v>63</v>
      </c>
      <c r="X12">
        <v>100</v>
      </c>
      <c r="Y12">
        <v>100</v>
      </c>
      <c r="Z12">
        <v>96.67</v>
      </c>
      <c r="AA12">
        <v>100</v>
      </c>
      <c r="AB12">
        <v>23.33</v>
      </c>
      <c r="AC12">
        <v>100</v>
      </c>
      <c r="AD12" s="2">
        <f>AVERAGE(X12:AC12)</f>
        <v>86.666666666666671</v>
      </c>
    </row>
    <row r="13" spans="3:31">
      <c r="C13" s="5" t="s">
        <v>26</v>
      </c>
      <c r="D13" s="4">
        <f>AVERAGE(D10:D12)</f>
        <v>50.449999999999996</v>
      </c>
      <c r="E13" s="4">
        <f t="shared" ref="E13:I13" si="7">AVERAGE(E10:E12)</f>
        <v>52.603333333333332</v>
      </c>
      <c r="F13" s="4">
        <f t="shared" si="7"/>
        <v>92.066666666666663</v>
      </c>
      <c r="G13" s="4">
        <f t="shared" si="7"/>
        <v>78.586666666666659</v>
      </c>
      <c r="H13" s="4">
        <f t="shared" si="7"/>
        <v>80.033333333333331</v>
      </c>
      <c r="I13" s="4">
        <f t="shared" si="7"/>
        <v>73.38000000000001</v>
      </c>
      <c r="L13" s="5" t="s">
        <v>26</v>
      </c>
      <c r="M13" s="4">
        <f>AVERAGE(M10:M12)</f>
        <v>91.89</v>
      </c>
      <c r="N13" s="4">
        <f t="shared" ref="N13:S13" si="8">AVERAGE(N10:N12)</f>
        <v>88</v>
      </c>
      <c r="O13" s="4">
        <f t="shared" si="8"/>
        <v>87.333333333333329</v>
      </c>
      <c r="P13" s="4">
        <f t="shared" si="8"/>
        <v>79.89</v>
      </c>
      <c r="Q13" s="4">
        <f t="shared" si="8"/>
        <v>66.223333333333343</v>
      </c>
      <c r="R13" s="4">
        <f t="shared" si="8"/>
        <v>83.11</v>
      </c>
      <c r="S13" s="4">
        <f t="shared" si="8"/>
        <v>96.333333333333329</v>
      </c>
      <c r="T13" s="4">
        <f>AVERAGE(M13:S13)</f>
        <v>84.682857142857145</v>
      </c>
      <c r="W13" s="5" t="s">
        <v>12</v>
      </c>
      <c r="X13" s="4">
        <f>AVERAGE(X10:X12)</f>
        <v>100</v>
      </c>
      <c r="Y13" s="4">
        <f t="shared" ref="Y13:AD13" si="9">AVERAGE(Y10:Y12)</f>
        <v>100</v>
      </c>
      <c r="Z13" s="4">
        <f t="shared" si="9"/>
        <v>94.443333333333328</v>
      </c>
      <c r="AA13" s="4">
        <f t="shared" si="9"/>
        <v>100</v>
      </c>
      <c r="AB13" s="4">
        <f t="shared" si="9"/>
        <v>30</v>
      </c>
      <c r="AC13" s="4">
        <f t="shared" si="9"/>
        <v>98.89</v>
      </c>
      <c r="AD13" s="4">
        <f t="shared" si="9"/>
        <v>87.222222222222214</v>
      </c>
    </row>
    <row r="14" spans="3:31">
      <c r="C14" s="5" t="s">
        <v>73</v>
      </c>
      <c r="D14" s="5">
        <f>_xlfn.STDEV.S(D10:D12)</f>
        <v>2.0621590627301303</v>
      </c>
      <c r="E14" s="5">
        <f t="shared" ref="E14:I14" si="10">_xlfn.STDEV.S(E10:E12)</f>
        <v>3.9305512760086647</v>
      </c>
      <c r="F14" s="5">
        <f t="shared" si="10"/>
        <v>1.3740936406713067</v>
      </c>
      <c r="G14" s="5">
        <f t="shared" si="10"/>
        <v>1.7944451324388049</v>
      </c>
      <c r="H14" s="5">
        <f t="shared" si="10"/>
        <v>7.4864299457974903</v>
      </c>
      <c r="I14" s="5">
        <f t="shared" si="10"/>
        <v>2.0043951706188108</v>
      </c>
      <c r="L14" s="5" t="s">
        <v>73</v>
      </c>
      <c r="M14" s="5">
        <f>_xlfn.STDEV.S(M10:M12)</f>
        <v>2.4135451104133119</v>
      </c>
      <c r="N14" s="5">
        <f t="shared" ref="N14:T14" si="11">_xlfn.STDEV.S(N10:N12)</f>
        <v>1.8571214284478015</v>
      </c>
      <c r="O14" s="5">
        <f t="shared" si="11"/>
        <v>0.87876807710187699</v>
      </c>
      <c r="P14" s="5">
        <f t="shared" si="11"/>
        <v>4.2219900520962863</v>
      </c>
      <c r="Q14" s="5">
        <f t="shared" si="11"/>
        <v>4.8815605428319069</v>
      </c>
      <c r="R14" s="5">
        <f t="shared" si="11"/>
        <v>0.69656299069072136</v>
      </c>
      <c r="S14" s="5">
        <f t="shared" si="11"/>
        <v>0.33501243758006044</v>
      </c>
      <c r="T14" s="5">
        <f t="shared" si="11"/>
        <v>0.45302610637933732</v>
      </c>
      <c r="W14" s="5" t="s">
        <v>73</v>
      </c>
      <c r="X14" s="5">
        <f>_xlfn.STDEV.S(X10:X12)</f>
        <v>0</v>
      </c>
      <c r="Y14" s="5">
        <f t="shared" ref="Y14:AD14" si="12">_xlfn.STDEV.S(Y10:Y12)</f>
        <v>0</v>
      </c>
      <c r="Z14" s="5">
        <f t="shared" si="12"/>
        <v>1.9283498990933521</v>
      </c>
      <c r="AA14" s="5">
        <f t="shared" si="12"/>
        <v>0</v>
      </c>
      <c r="AB14" s="5">
        <f t="shared" si="12"/>
        <v>6.6700000000000044</v>
      </c>
      <c r="AC14" s="5">
        <f t="shared" si="12"/>
        <v>1.9225763964014528</v>
      </c>
      <c r="AD14" s="5">
        <f t="shared" si="12"/>
        <v>0.55583354156250497</v>
      </c>
    </row>
    <row r="15" spans="3:31">
      <c r="I15" s="2"/>
      <c r="T15" s="2"/>
    </row>
    <row r="16" spans="3:31">
      <c r="C16" t="s">
        <v>50</v>
      </c>
      <c r="D16">
        <v>75.680000000000007</v>
      </c>
      <c r="E16">
        <v>67.19</v>
      </c>
      <c r="F16">
        <v>97.62</v>
      </c>
      <c r="G16">
        <v>77.09</v>
      </c>
      <c r="H16">
        <v>86.29</v>
      </c>
      <c r="I16" s="2">
        <v>80.58</v>
      </c>
      <c r="L16" t="s">
        <v>50</v>
      </c>
      <c r="M16">
        <v>93.67</v>
      </c>
      <c r="N16">
        <v>91.33</v>
      </c>
      <c r="O16">
        <v>98.67</v>
      </c>
      <c r="P16">
        <v>94.67</v>
      </c>
      <c r="Q16">
        <v>93</v>
      </c>
      <c r="R16">
        <v>94.33</v>
      </c>
      <c r="S16">
        <v>96.67</v>
      </c>
      <c r="T16" s="2">
        <f>AVERAGE(M16:S16)</f>
        <v>94.62</v>
      </c>
      <c r="W16" t="s">
        <v>17</v>
      </c>
      <c r="X16">
        <v>100</v>
      </c>
      <c r="Y16">
        <v>100</v>
      </c>
      <c r="Z16">
        <v>100</v>
      </c>
      <c r="AA16">
        <v>100</v>
      </c>
      <c r="AB16">
        <v>93.33</v>
      </c>
      <c r="AC16">
        <v>100</v>
      </c>
      <c r="AD16" s="2">
        <f>AVERAGE(X16:AC16)</f>
        <v>98.888333333333321</v>
      </c>
    </row>
    <row r="17" spans="3:31">
      <c r="C17" t="s">
        <v>46</v>
      </c>
      <c r="D17">
        <v>72.97</v>
      </c>
      <c r="E17">
        <v>62.5</v>
      </c>
      <c r="F17">
        <v>95.24</v>
      </c>
      <c r="G17">
        <v>81.56</v>
      </c>
      <c r="H17">
        <v>78.17</v>
      </c>
      <c r="I17" s="2">
        <v>78.06</v>
      </c>
      <c r="L17" t="s">
        <v>46</v>
      </c>
      <c r="M17">
        <v>95.33</v>
      </c>
      <c r="N17">
        <v>92</v>
      </c>
      <c r="O17">
        <v>93.67</v>
      </c>
      <c r="P17">
        <v>94</v>
      </c>
      <c r="Q17">
        <v>90</v>
      </c>
      <c r="R17">
        <v>94.33</v>
      </c>
      <c r="S17">
        <v>97.33</v>
      </c>
      <c r="T17" s="2">
        <f>AVERAGE(M17:S17)</f>
        <v>93.80857142857144</v>
      </c>
      <c r="W17" t="s">
        <v>22</v>
      </c>
      <c r="X17">
        <v>100</v>
      </c>
      <c r="Y17">
        <v>100</v>
      </c>
      <c r="Z17">
        <v>100</v>
      </c>
      <c r="AA17">
        <v>100</v>
      </c>
      <c r="AB17">
        <v>80</v>
      </c>
      <c r="AC17">
        <v>100</v>
      </c>
      <c r="AD17" s="2">
        <f>AVERAGE(X17:AC17)</f>
        <v>96.666666666666671</v>
      </c>
    </row>
    <row r="18" spans="3:31">
      <c r="C18" t="s">
        <v>63</v>
      </c>
      <c r="D18">
        <v>77.03</v>
      </c>
      <c r="E18">
        <v>78.12</v>
      </c>
      <c r="F18">
        <v>97.62</v>
      </c>
      <c r="G18">
        <v>82.68</v>
      </c>
      <c r="H18">
        <v>71.069999999999993</v>
      </c>
      <c r="I18" s="2">
        <v>78.42</v>
      </c>
      <c r="L18" t="s">
        <v>63</v>
      </c>
      <c r="M18">
        <v>94.67</v>
      </c>
      <c r="N18">
        <v>91.67</v>
      </c>
      <c r="O18">
        <v>96.67</v>
      </c>
      <c r="P18">
        <v>92.67</v>
      </c>
      <c r="Q18">
        <v>91</v>
      </c>
      <c r="R18">
        <v>95.33</v>
      </c>
      <c r="S18">
        <v>98.33</v>
      </c>
      <c r="T18" s="2">
        <f>AVERAGE(M18:S18)</f>
        <v>94.334285714285713</v>
      </c>
      <c r="W18" t="s">
        <v>7</v>
      </c>
      <c r="X18">
        <v>100</v>
      </c>
      <c r="Y18">
        <v>100</v>
      </c>
      <c r="Z18">
        <v>100</v>
      </c>
      <c r="AA18">
        <v>100</v>
      </c>
      <c r="AB18">
        <v>73.33</v>
      </c>
      <c r="AC18">
        <v>100</v>
      </c>
      <c r="AD18" s="2">
        <f>AVERAGE(X18:AC18)</f>
        <v>95.554999999999993</v>
      </c>
    </row>
    <row r="19" spans="3:31">
      <c r="C19" s="5" t="s">
        <v>12</v>
      </c>
      <c r="D19" s="4">
        <f>AVERAGE(D16:D18)</f>
        <v>75.226666666666674</v>
      </c>
      <c r="E19" s="4">
        <f t="shared" ref="E19:I19" si="13">AVERAGE(E16:E18)</f>
        <v>69.27</v>
      </c>
      <c r="F19" s="4">
        <f t="shared" si="13"/>
        <v>96.826666666666668</v>
      </c>
      <c r="G19" s="4">
        <f t="shared" si="13"/>
        <v>80.443333333333342</v>
      </c>
      <c r="H19" s="4">
        <f t="shared" si="13"/>
        <v>78.510000000000005</v>
      </c>
      <c r="I19" s="4">
        <f t="shared" si="13"/>
        <v>79.02</v>
      </c>
      <c r="L19" s="5" t="s">
        <v>12</v>
      </c>
      <c r="M19" s="4">
        <f>AVERAGE(M16:M18)</f>
        <v>94.556666666666672</v>
      </c>
      <c r="N19" s="4">
        <f t="shared" ref="N19:S19" si="14">AVERAGE(N16:N18)</f>
        <v>91.666666666666671</v>
      </c>
      <c r="O19" s="4">
        <f t="shared" si="14"/>
        <v>96.336666666666659</v>
      </c>
      <c r="P19" s="4">
        <f t="shared" si="14"/>
        <v>93.780000000000015</v>
      </c>
      <c r="Q19" s="4">
        <f t="shared" si="14"/>
        <v>91.333333333333329</v>
      </c>
      <c r="R19" s="4">
        <f t="shared" si="14"/>
        <v>94.663333333333341</v>
      </c>
      <c r="S19" s="4">
        <f t="shared" si="14"/>
        <v>97.443333333333328</v>
      </c>
      <c r="T19" s="4">
        <f>AVERAGE(M19:S19)</f>
        <v>94.254285714285714</v>
      </c>
      <c r="W19" s="5" t="s">
        <v>13</v>
      </c>
      <c r="X19" s="4">
        <f>AVERAGE(X16:X18)</f>
        <v>100</v>
      </c>
      <c r="Y19" s="4">
        <f t="shared" ref="Y19:AD19" si="15">AVERAGE(Y16:Y18)</f>
        <v>100</v>
      </c>
      <c r="Z19" s="4">
        <f t="shared" si="15"/>
        <v>100</v>
      </c>
      <c r="AA19" s="4">
        <f t="shared" si="15"/>
        <v>100</v>
      </c>
      <c r="AB19" s="4">
        <f t="shared" si="15"/>
        <v>82.219999999999985</v>
      </c>
      <c r="AC19" s="4">
        <f t="shared" si="15"/>
        <v>100</v>
      </c>
      <c r="AD19" s="4">
        <f t="shared" si="15"/>
        <v>97.036666666666676</v>
      </c>
      <c r="AE19" s="3"/>
    </row>
    <row r="20" spans="3:31">
      <c r="C20" s="5" t="s">
        <v>73</v>
      </c>
      <c r="D20" s="5">
        <f>_xlfn.STDEV.S(D16:D18)</f>
        <v>2.0676153736450456</v>
      </c>
      <c r="E20" s="5">
        <f t="shared" ref="E20:I20" si="16">_xlfn.STDEV.S(E16:E18)</f>
        <v>8.0150421084358658</v>
      </c>
      <c r="F20" s="5">
        <f t="shared" si="16"/>
        <v>1.3740936406713149</v>
      </c>
      <c r="G20" s="5">
        <f t="shared" si="16"/>
        <v>2.9575722025562352</v>
      </c>
      <c r="H20" s="5">
        <f t="shared" si="16"/>
        <v>7.6156943215966919</v>
      </c>
      <c r="I20" s="5">
        <f t="shared" si="16"/>
        <v>1.3629380029920637</v>
      </c>
      <c r="L20" s="5" t="s">
        <v>73</v>
      </c>
      <c r="M20" s="5">
        <f>_xlfn.STDEV.S(M16:M18)</f>
        <v>0.83578306595272123</v>
      </c>
      <c r="N20" s="5">
        <f t="shared" ref="N20:T20" si="17">_xlfn.STDEV.S(N16:N18)</f>
        <v>0.3350124375800605</v>
      </c>
      <c r="O20" s="5">
        <f t="shared" si="17"/>
        <v>2.5166114784235836</v>
      </c>
      <c r="P20" s="5">
        <f t="shared" si="17"/>
        <v>1.0179882121124977</v>
      </c>
      <c r="Q20" s="5">
        <f t="shared" si="17"/>
        <v>1.5275252316519468</v>
      </c>
      <c r="R20" s="5">
        <f t="shared" si="17"/>
        <v>0.57735026918962584</v>
      </c>
      <c r="S20" s="5">
        <f t="shared" si="17"/>
        <v>0.83578306595272123</v>
      </c>
      <c r="T20" s="5">
        <f t="shared" si="17"/>
        <v>0.41158727097986081</v>
      </c>
      <c r="W20" s="5" t="s">
        <v>73</v>
      </c>
      <c r="X20" s="5">
        <f>_xlfn.STDEV.S(X16:X18)</f>
        <v>0</v>
      </c>
      <c r="Y20" s="5">
        <f t="shared" ref="Y20:AD20" si="18">_xlfn.STDEV.S(Y16:Y18)</f>
        <v>0</v>
      </c>
      <c r="Z20" s="5">
        <f t="shared" si="18"/>
        <v>0</v>
      </c>
      <c r="AA20" s="5">
        <f t="shared" si="18"/>
        <v>0</v>
      </c>
      <c r="AB20" s="5">
        <f t="shared" si="18"/>
        <v>10.183138023222668</v>
      </c>
      <c r="AC20" s="5">
        <f t="shared" si="18"/>
        <v>0</v>
      </c>
      <c r="AD20" s="5">
        <f t="shared" si="18"/>
        <v>1.6971896705370806</v>
      </c>
    </row>
    <row r="21" spans="3:31">
      <c r="I21" s="3"/>
      <c r="T21" s="3"/>
    </row>
    <row r="22" spans="3:31">
      <c r="C22" t="s">
        <v>15</v>
      </c>
      <c r="D22">
        <v>72.97</v>
      </c>
      <c r="E22">
        <v>64.06</v>
      </c>
      <c r="F22">
        <v>97.62</v>
      </c>
      <c r="G22">
        <v>78.209999999999994</v>
      </c>
      <c r="H22">
        <v>83.76</v>
      </c>
      <c r="I22" s="3">
        <v>79.319999999999993</v>
      </c>
      <c r="L22" t="s">
        <v>41</v>
      </c>
      <c r="M22">
        <v>96</v>
      </c>
      <c r="N22">
        <v>97.33</v>
      </c>
      <c r="O22">
        <v>98</v>
      </c>
      <c r="P22">
        <v>96.67</v>
      </c>
      <c r="Q22">
        <v>88.67</v>
      </c>
      <c r="R22">
        <v>93.67</v>
      </c>
      <c r="S22">
        <v>99</v>
      </c>
      <c r="T22" s="2">
        <f>AVERAGE(M22:S22)</f>
        <v>95.62</v>
      </c>
    </row>
    <row r="23" spans="3:31">
      <c r="C23" t="s">
        <v>3</v>
      </c>
      <c r="D23">
        <v>78.38</v>
      </c>
      <c r="E23">
        <v>68.75</v>
      </c>
      <c r="F23">
        <v>97.62</v>
      </c>
      <c r="G23">
        <v>79.33</v>
      </c>
      <c r="H23">
        <v>84.26</v>
      </c>
      <c r="I23" s="3">
        <v>81.12</v>
      </c>
      <c r="L23" t="s">
        <v>40</v>
      </c>
      <c r="M23">
        <v>98.33</v>
      </c>
      <c r="N23">
        <v>98.67</v>
      </c>
      <c r="O23">
        <v>99</v>
      </c>
      <c r="P23">
        <v>96.67</v>
      </c>
      <c r="Q23">
        <v>94.33</v>
      </c>
      <c r="R23">
        <v>96.33</v>
      </c>
      <c r="S23">
        <v>98.33</v>
      </c>
      <c r="T23" s="2">
        <f>AVERAGE(M23:S23)</f>
        <v>97.38000000000001</v>
      </c>
    </row>
    <row r="24" spans="3:31">
      <c r="C24" t="s">
        <v>23</v>
      </c>
      <c r="D24">
        <v>66.22</v>
      </c>
      <c r="E24">
        <v>67.19</v>
      </c>
      <c r="F24">
        <v>97.62</v>
      </c>
      <c r="G24">
        <v>77.650000000000006</v>
      </c>
      <c r="H24">
        <v>77.16</v>
      </c>
      <c r="I24" s="3">
        <v>76.260000000000005</v>
      </c>
      <c r="L24" t="s">
        <v>42</v>
      </c>
      <c r="M24">
        <v>99.33</v>
      </c>
      <c r="N24">
        <v>97</v>
      </c>
      <c r="O24">
        <v>99</v>
      </c>
      <c r="P24">
        <v>96.67</v>
      </c>
      <c r="Q24">
        <v>93</v>
      </c>
      <c r="R24">
        <v>95.67</v>
      </c>
      <c r="S24">
        <v>98</v>
      </c>
      <c r="T24" s="2">
        <f>AVERAGE(M24:S24)</f>
        <v>96.952857142857141</v>
      </c>
    </row>
    <row r="25" spans="3:31">
      <c r="C25" s="6" t="s">
        <v>8</v>
      </c>
      <c r="D25" s="4">
        <f>AVERAGE(D22:D24)</f>
        <v>72.523333333333326</v>
      </c>
      <c r="E25" s="4">
        <f t="shared" ref="E25:I25" si="19">AVERAGE(E22:E24)</f>
        <v>66.666666666666671</v>
      </c>
      <c r="F25" s="4">
        <f t="shared" si="19"/>
        <v>97.62</v>
      </c>
      <c r="G25" s="4">
        <f t="shared" si="19"/>
        <v>78.396666666666661</v>
      </c>
      <c r="H25" s="4">
        <f t="shared" si="19"/>
        <v>81.726666666666674</v>
      </c>
      <c r="I25" s="4">
        <f t="shared" si="19"/>
        <v>78.899999999999991</v>
      </c>
      <c r="L25" s="5" t="s">
        <v>75</v>
      </c>
      <c r="M25" s="4">
        <f>AVERAGE(M22:M24)</f>
        <v>97.886666666666656</v>
      </c>
      <c r="N25" s="4">
        <f t="shared" ref="N25:S25" si="20">AVERAGE(N22:N24)</f>
        <v>97.666666666666671</v>
      </c>
      <c r="O25" s="4">
        <f t="shared" si="20"/>
        <v>98.666666666666671</v>
      </c>
      <c r="P25" s="4">
        <f t="shared" si="20"/>
        <v>96.67</v>
      </c>
      <c r="Q25" s="4">
        <f t="shared" si="20"/>
        <v>92</v>
      </c>
      <c r="R25" s="4">
        <f t="shared" si="20"/>
        <v>95.223333333333343</v>
      </c>
      <c r="S25" s="4">
        <f t="shared" si="20"/>
        <v>98.443333333333328</v>
      </c>
      <c r="T25" s="4">
        <f>AVERAGE(M25:S25)</f>
        <v>96.650952380952376</v>
      </c>
    </row>
    <row r="26" spans="3:31">
      <c r="C26" s="5" t="s">
        <v>73</v>
      </c>
      <c r="D26" s="5">
        <f>_xlfn.STDEV.S(D22:D24)</f>
        <v>6.0922929454625958</v>
      </c>
      <c r="E26" s="5">
        <f t="shared" ref="E26:I26" si="21">_xlfn.STDEV.S(E22:E24)</f>
        <v>2.3883955562957584</v>
      </c>
      <c r="F26" s="5">
        <f t="shared" si="21"/>
        <v>0</v>
      </c>
      <c r="G26" s="5">
        <f t="shared" si="21"/>
        <v>0.85541412972508746</v>
      </c>
      <c r="H26" s="5">
        <f t="shared" si="21"/>
        <v>3.9627431576287369</v>
      </c>
      <c r="I26" s="5">
        <f t="shared" si="21"/>
        <v>2.4570714275331911</v>
      </c>
      <c r="L26" s="5" t="s">
        <v>73</v>
      </c>
      <c r="M26" s="5">
        <f>_xlfn.STDEV.S(M22:M24)</f>
        <v>1.7086934579769801</v>
      </c>
      <c r="N26" s="5">
        <f t="shared" ref="N26:T26" si="22">_xlfn.STDEV.S(N22:N24)</f>
        <v>0.88443955889214698</v>
      </c>
      <c r="O26" s="5">
        <f t="shared" si="22"/>
        <v>0.57735026918962573</v>
      </c>
      <c r="P26" s="5">
        <f t="shared" si="22"/>
        <v>0</v>
      </c>
      <c r="Q26" s="5">
        <f t="shared" si="22"/>
        <v>2.9595438837766861</v>
      </c>
      <c r="R26" s="5">
        <f t="shared" si="22"/>
        <v>1.3851113072000132</v>
      </c>
      <c r="S26" s="5">
        <f t="shared" si="22"/>
        <v>0.50954227825896203</v>
      </c>
      <c r="T26" s="5">
        <f t="shared" si="22"/>
        <v>0.91801953353160193</v>
      </c>
    </row>
    <row r="27" spans="3:31">
      <c r="I27" s="3"/>
      <c r="T27" s="3"/>
    </row>
    <row r="28" spans="3:31">
      <c r="C28" t="s">
        <v>30</v>
      </c>
      <c r="D28">
        <v>77.03</v>
      </c>
      <c r="E28">
        <v>90.62</v>
      </c>
      <c r="F28">
        <v>97.62</v>
      </c>
      <c r="G28">
        <v>79.33</v>
      </c>
      <c r="H28">
        <v>75.63</v>
      </c>
      <c r="I28" s="3">
        <v>80.400000000000006</v>
      </c>
      <c r="L28" t="s">
        <v>17</v>
      </c>
      <c r="M28">
        <v>100</v>
      </c>
      <c r="N28">
        <v>100</v>
      </c>
      <c r="O28">
        <v>100</v>
      </c>
      <c r="P28">
        <v>100</v>
      </c>
      <c r="Q28">
        <v>99.17</v>
      </c>
      <c r="R28">
        <v>98.33</v>
      </c>
      <c r="S28">
        <v>99.38</v>
      </c>
      <c r="T28" s="2">
        <f>AVERAGE(M28:S28)</f>
        <v>99.554285714285712</v>
      </c>
    </row>
    <row r="29" spans="3:31">
      <c r="C29" t="s">
        <v>25</v>
      </c>
      <c r="D29">
        <v>77.03</v>
      </c>
      <c r="E29">
        <v>82.81</v>
      </c>
      <c r="F29">
        <v>97.62</v>
      </c>
      <c r="G29">
        <v>77.09</v>
      </c>
      <c r="H29">
        <v>91.88</v>
      </c>
      <c r="I29" s="3">
        <v>84.53</v>
      </c>
      <c r="L29" t="s">
        <v>22</v>
      </c>
      <c r="M29">
        <v>100</v>
      </c>
      <c r="N29">
        <v>100</v>
      </c>
      <c r="O29">
        <v>100</v>
      </c>
      <c r="P29">
        <v>99.17</v>
      </c>
      <c r="Q29">
        <v>100</v>
      </c>
      <c r="R29">
        <v>95</v>
      </c>
      <c r="S29">
        <v>100</v>
      </c>
      <c r="T29" s="2">
        <f>AVERAGE(M29:S29)</f>
        <v>99.167142857142863</v>
      </c>
    </row>
    <row r="30" spans="3:31">
      <c r="C30" t="s">
        <v>11</v>
      </c>
      <c r="D30">
        <v>68.92</v>
      </c>
      <c r="E30">
        <v>84.38</v>
      </c>
      <c r="F30">
        <v>97.62</v>
      </c>
      <c r="G30">
        <v>75.98</v>
      </c>
      <c r="H30">
        <v>90.36</v>
      </c>
      <c r="I30" s="3">
        <v>82.73</v>
      </c>
      <c r="L30" t="s">
        <v>7</v>
      </c>
      <c r="M30">
        <v>100</v>
      </c>
      <c r="N30">
        <v>100</v>
      </c>
      <c r="O30">
        <v>100</v>
      </c>
      <c r="P30">
        <v>100</v>
      </c>
      <c r="Q30">
        <v>100</v>
      </c>
      <c r="R30">
        <v>92.5</v>
      </c>
      <c r="S30">
        <v>99.58</v>
      </c>
      <c r="T30" s="2">
        <f>AVERAGE(M30:S30)</f>
        <v>98.868571428571428</v>
      </c>
    </row>
    <row r="31" spans="3:31">
      <c r="C31" s="6" t="s">
        <v>21</v>
      </c>
      <c r="D31" s="4">
        <f t="shared" ref="D31:I31" si="23">AVERAGE(D28:D30)</f>
        <v>74.326666666666668</v>
      </c>
      <c r="E31" s="4">
        <f t="shared" si="23"/>
        <v>85.936666666666667</v>
      </c>
      <c r="F31" s="4">
        <f t="shared" si="23"/>
        <v>97.62</v>
      </c>
      <c r="G31" s="4">
        <f t="shared" si="23"/>
        <v>77.466666666666683</v>
      </c>
      <c r="H31" s="4">
        <f t="shared" si="23"/>
        <v>85.956666666666663</v>
      </c>
      <c r="I31" s="4">
        <f t="shared" si="23"/>
        <v>82.553333333333342</v>
      </c>
      <c r="L31" s="5" t="s">
        <v>13</v>
      </c>
      <c r="M31" s="4">
        <f>AVERAGE(M28:M30)</f>
        <v>100</v>
      </c>
      <c r="N31" s="4">
        <f t="shared" ref="N31:S31" si="24">AVERAGE(N28:N30)</f>
        <v>100</v>
      </c>
      <c r="O31" s="4">
        <f t="shared" si="24"/>
        <v>100</v>
      </c>
      <c r="P31" s="4">
        <f t="shared" si="24"/>
        <v>99.723333333333343</v>
      </c>
      <c r="Q31" s="4">
        <f t="shared" si="24"/>
        <v>99.723333333333343</v>
      </c>
      <c r="R31" s="4">
        <f t="shared" si="24"/>
        <v>95.276666666666657</v>
      </c>
      <c r="S31" s="4">
        <f t="shared" si="24"/>
        <v>99.653333333333322</v>
      </c>
      <c r="T31" s="4">
        <f>AVERAGE(M31:S31)</f>
        <v>99.196666666666673</v>
      </c>
    </row>
    <row r="32" spans="3:31">
      <c r="C32" s="5" t="s">
        <v>73</v>
      </c>
      <c r="D32" s="5">
        <f>_xlfn.STDEV.S(D28:D30)</f>
        <v>4.6823106831278647</v>
      </c>
      <c r="E32" s="5">
        <f t="shared" ref="E32:I32" si="25">_xlfn.STDEV.S(E28:E30)</f>
        <v>4.1311539953544889</v>
      </c>
      <c r="F32" s="5">
        <f t="shared" si="25"/>
        <v>0</v>
      </c>
      <c r="G32" s="5">
        <f t="shared" si="25"/>
        <v>1.7064680874054816</v>
      </c>
      <c r="H32" s="5">
        <f t="shared" si="25"/>
        <v>8.9753904279052588</v>
      </c>
      <c r="I32" s="5">
        <f t="shared" si="25"/>
        <v>2.0706601201871164</v>
      </c>
      <c r="L32" s="5" t="s">
        <v>73</v>
      </c>
      <c r="M32" s="5">
        <f>_xlfn.STDEV.S(M28:M30)</f>
        <v>0</v>
      </c>
      <c r="N32" s="5">
        <f t="shared" ref="N32:T32" si="26">_xlfn.STDEV.S(N28:N30)</f>
        <v>0</v>
      </c>
      <c r="O32" s="5">
        <f t="shared" si="26"/>
        <v>0</v>
      </c>
      <c r="P32" s="5">
        <f t="shared" si="26"/>
        <v>0.47920072342738834</v>
      </c>
      <c r="Q32" s="5">
        <f t="shared" si="26"/>
        <v>0.47920072342738834</v>
      </c>
      <c r="R32" s="5">
        <f t="shared" si="26"/>
        <v>2.9248304794181368</v>
      </c>
      <c r="S32" s="5">
        <f t="shared" si="26"/>
        <v>0.31643851430149067</v>
      </c>
      <c r="T32" s="5">
        <f t="shared" si="26"/>
        <v>0.34380919403756621</v>
      </c>
    </row>
    <row r="33" spans="3:19">
      <c r="I33" s="3"/>
    </row>
    <row r="34" spans="3:19">
      <c r="C34" t="s">
        <v>17</v>
      </c>
      <c r="D34">
        <v>85.14</v>
      </c>
      <c r="E34">
        <v>90.62</v>
      </c>
      <c r="F34">
        <v>97.62</v>
      </c>
      <c r="G34">
        <v>79.33</v>
      </c>
      <c r="H34">
        <v>91.37</v>
      </c>
      <c r="I34" s="3">
        <v>87.05</v>
      </c>
    </row>
    <row r="35" spans="3:19">
      <c r="C35" t="s">
        <v>22</v>
      </c>
      <c r="D35">
        <v>86.49</v>
      </c>
      <c r="E35">
        <v>84.38</v>
      </c>
      <c r="F35">
        <v>95.24</v>
      </c>
      <c r="G35">
        <v>78.77</v>
      </c>
      <c r="H35">
        <v>93.4</v>
      </c>
      <c r="I35" s="3">
        <v>86.87</v>
      </c>
    </row>
    <row r="36" spans="3:19">
      <c r="C36" t="s">
        <v>7</v>
      </c>
      <c r="D36">
        <v>83.78</v>
      </c>
      <c r="E36">
        <v>79.69</v>
      </c>
      <c r="F36">
        <v>97.62</v>
      </c>
      <c r="G36">
        <v>79.33</v>
      </c>
      <c r="H36">
        <v>87.31</v>
      </c>
      <c r="I36" s="3">
        <v>84.17</v>
      </c>
      <c r="L36" s="7" t="s">
        <v>76</v>
      </c>
      <c r="M36" s="7" t="s">
        <v>81</v>
      </c>
      <c r="N36" s="7" t="s">
        <v>80</v>
      </c>
      <c r="O36" s="7" t="s">
        <v>82</v>
      </c>
      <c r="P36" s="7" t="s">
        <v>78</v>
      </c>
      <c r="Q36" s="7" t="s">
        <v>79</v>
      </c>
      <c r="R36" s="7" t="s">
        <v>77</v>
      </c>
      <c r="S36" s="7" t="s">
        <v>83</v>
      </c>
    </row>
    <row r="37" spans="3:19">
      <c r="C37" s="6" t="s">
        <v>13</v>
      </c>
      <c r="D37" s="4">
        <f t="shared" ref="D37:I37" si="27">AVERAGE(D34:D36)</f>
        <v>85.13666666666667</v>
      </c>
      <c r="E37" s="4">
        <f t="shared" si="27"/>
        <v>84.896666666666661</v>
      </c>
      <c r="F37" s="4">
        <f t="shared" si="27"/>
        <v>96.826666666666668</v>
      </c>
      <c r="G37" s="4">
        <f t="shared" si="27"/>
        <v>79.143333333333331</v>
      </c>
      <c r="H37" s="4">
        <f t="shared" si="27"/>
        <v>90.693333333333342</v>
      </c>
      <c r="I37" s="4">
        <f t="shared" si="27"/>
        <v>86.030000000000015</v>
      </c>
      <c r="L37" s="5" t="s">
        <v>38</v>
      </c>
      <c r="M37" s="11">
        <v>43.6</v>
      </c>
      <c r="N37" s="11">
        <v>22.9</v>
      </c>
      <c r="O37" s="10">
        <v>1.64</v>
      </c>
      <c r="P37" s="9">
        <v>465829</v>
      </c>
      <c r="Q37">
        <v>1.7769999999999999</v>
      </c>
    </row>
    <row r="38" spans="3:19">
      <c r="C38" s="5" t="s">
        <v>73</v>
      </c>
      <c r="D38" s="5">
        <f>_xlfn.STDEV.S(D34:D36)</f>
        <v>1.3550030750272579</v>
      </c>
      <c r="E38" s="5">
        <f t="shared" ref="E38:I38" si="28">_xlfn.STDEV.S(E34:E36)</f>
        <v>5.4832867272588777</v>
      </c>
      <c r="F38" s="5">
        <f t="shared" si="28"/>
        <v>1.3740936406713149</v>
      </c>
      <c r="G38" s="5">
        <f t="shared" si="28"/>
        <v>0.32331615074619174</v>
      </c>
      <c r="H38" s="5">
        <f t="shared" si="28"/>
        <v>3.1008762202534532</v>
      </c>
      <c r="I38" s="5">
        <f t="shared" si="28"/>
        <v>1.6133195591698495</v>
      </c>
      <c r="L38" s="5" t="s">
        <v>26</v>
      </c>
      <c r="M38" s="11">
        <v>83.6</v>
      </c>
      <c r="N38" s="11">
        <v>12</v>
      </c>
      <c r="O38">
        <v>2.12</v>
      </c>
      <c r="P38" s="9">
        <v>40251207</v>
      </c>
      <c r="Q38">
        <v>153.54599999999999</v>
      </c>
    </row>
    <row r="39" spans="3:19">
      <c r="C39" s="5"/>
      <c r="D39" s="5"/>
      <c r="E39" s="5"/>
      <c r="F39" s="5"/>
      <c r="G39" s="5"/>
      <c r="H39" s="5"/>
      <c r="I39" s="5"/>
      <c r="L39" s="5" t="s">
        <v>12</v>
      </c>
      <c r="M39" s="11">
        <v>41.1</v>
      </c>
      <c r="N39" s="11">
        <v>24.3</v>
      </c>
      <c r="O39">
        <v>2.39</v>
      </c>
      <c r="P39" s="9">
        <v>852329</v>
      </c>
      <c r="Q39">
        <v>3.2509999999999999</v>
      </c>
    </row>
    <row r="40" spans="3:19">
      <c r="C40" s="5"/>
      <c r="D40" s="5"/>
      <c r="E40" s="5"/>
      <c r="F40" s="5"/>
      <c r="G40" s="5"/>
      <c r="H40" s="5"/>
      <c r="I40" s="5"/>
      <c r="L40" s="6" t="s">
        <v>8</v>
      </c>
      <c r="M40" s="12">
        <v>42.3</v>
      </c>
      <c r="N40" s="12">
        <v>23.7</v>
      </c>
      <c r="O40" s="13">
        <v>2.33</v>
      </c>
      <c r="P40" s="14">
        <v>1001438</v>
      </c>
      <c r="Q40" s="13">
        <v>3.82</v>
      </c>
    </row>
    <row r="41" spans="3:19">
      <c r="C41" s="5" t="s">
        <v>74</v>
      </c>
      <c r="D41" s="5"/>
      <c r="E41" s="5"/>
      <c r="F41" s="5"/>
      <c r="G41" s="5"/>
      <c r="H41" s="5"/>
      <c r="I41" s="5"/>
      <c r="L41" s="6" t="s">
        <v>21</v>
      </c>
      <c r="M41" s="12">
        <v>39.200000000000003</v>
      </c>
      <c r="N41" s="12">
        <v>25.51</v>
      </c>
      <c r="O41" s="13">
        <v>5.88</v>
      </c>
      <c r="P41" s="14">
        <v>20424453</v>
      </c>
      <c r="Q41" s="13">
        <v>77.912999999999997</v>
      </c>
    </row>
    <row r="42" spans="3:19">
      <c r="L42" s="6" t="s">
        <v>13</v>
      </c>
      <c r="M42" s="12">
        <v>43.1</v>
      </c>
      <c r="N42" s="12">
        <v>23.2</v>
      </c>
      <c r="O42" s="13">
        <v>3.69</v>
      </c>
      <c r="P42" s="14">
        <v>17622273</v>
      </c>
      <c r="Q42" s="13">
        <v>67.22</v>
      </c>
    </row>
    <row r="43" spans="3:19">
      <c r="C43" s="7" t="s">
        <v>65</v>
      </c>
      <c r="D43" s="7">
        <v>68.92</v>
      </c>
      <c r="E43" s="7">
        <v>64.06</v>
      </c>
      <c r="F43" s="7">
        <v>92.86</v>
      </c>
      <c r="G43" s="7">
        <v>64.25</v>
      </c>
      <c r="H43" s="7">
        <v>69.040000000000006</v>
      </c>
      <c r="I43" s="7">
        <v>68.709999999999994</v>
      </c>
    </row>
    <row r="44" spans="3:19">
      <c r="C44" s="7" t="s">
        <v>66</v>
      </c>
      <c r="D44" s="7">
        <v>58.11</v>
      </c>
      <c r="E44" s="7">
        <v>65.62</v>
      </c>
      <c r="F44" s="7">
        <v>92.86</v>
      </c>
      <c r="G44" s="7">
        <v>72.62</v>
      </c>
      <c r="H44" s="7">
        <v>88.32</v>
      </c>
      <c r="I44" s="7">
        <v>76.98</v>
      </c>
    </row>
    <row r="45" spans="3:19">
      <c r="C45" s="7" t="s">
        <v>67</v>
      </c>
      <c r="D45" s="7">
        <v>54.05</v>
      </c>
      <c r="E45" s="7">
        <v>68.75</v>
      </c>
      <c r="F45" s="7">
        <v>92.86</v>
      </c>
      <c r="G45" s="7">
        <v>68.16</v>
      </c>
      <c r="H45" s="7">
        <v>75.63</v>
      </c>
      <c r="I45" s="7">
        <v>70.86</v>
      </c>
    </row>
    <row r="46" spans="3:19">
      <c r="C46" s="6" t="s">
        <v>71</v>
      </c>
      <c r="D46" s="4">
        <f>AVERAGE(D43:D45)</f>
        <v>60.359999999999992</v>
      </c>
      <c r="E46" s="4">
        <f t="shared" ref="E46:H46" si="29">AVERAGE(E43:E45)</f>
        <v>66.143333333333331</v>
      </c>
      <c r="F46" s="4">
        <f t="shared" si="29"/>
        <v>92.86</v>
      </c>
      <c r="G46" s="4">
        <f t="shared" si="29"/>
        <v>68.343333333333334</v>
      </c>
      <c r="H46" s="4">
        <f t="shared" si="29"/>
        <v>77.663333333333341</v>
      </c>
      <c r="I46" s="4">
        <f>AVERAGE(I43:I45)</f>
        <v>72.183333333333337</v>
      </c>
    </row>
    <row r="47" spans="3:19">
      <c r="C47" s="5" t="s">
        <v>73</v>
      </c>
      <c r="D47" s="5">
        <f>_xlfn.STDEV.S(D43:D45)</f>
        <v>7.6860978396062736</v>
      </c>
      <c r="E47" s="5">
        <f t="shared" ref="E47:I47" si="30">_xlfn.STDEV.S(E43:E45)</f>
        <v>2.3883955562957588</v>
      </c>
      <c r="F47" s="5">
        <f t="shared" si="30"/>
        <v>0</v>
      </c>
      <c r="G47" s="5">
        <f t="shared" si="30"/>
        <v>4.1880106653796094</v>
      </c>
      <c r="H47" s="5">
        <f t="shared" si="30"/>
        <v>9.7995118926063522</v>
      </c>
      <c r="I47" s="5">
        <f t="shared" si="30"/>
        <v>4.2908779210475538</v>
      </c>
    </row>
    <row r="49" spans="3:26">
      <c r="C49" s="8" t="s">
        <v>68</v>
      </c>
      <c r="D49" s="7">
        <v>81.08</v>
      </c>
      <c r="E49" s="7">
        <v>84.38</v>
      </c>
      <c r="F49" s="7">
        <v>100</v>
      </c>
      <c r="G49" s="7">
        <v>78.77</v>
      </c>
      <c r="H49" s="7">
        <v>88.83</v>
      </c>
      <c r="I49" s="7">
        <v>84.89</v>
      </c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3:26">
      <c r="C50" s="8" t="s">
        <v>69</v>
      </c>
      <c r="D50" s="7">
        <v>79.73</v>
      </c>
      <c r="E50" s="7">
        <v>79.69</v>
      </c>
      <c r="F50" s="7">
        <v>100</v>
      </c>
      <c r="G50" s="7">
        <v>76.540000000000006</v>
      </c>
      <c r="H50" s="7">
        <v>86.29</v>
      </c>
      <c r="I50" s="7">
        <v>82.55</v>
      </c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3:26">
      <c r="C51" s="8" t="s">
        <v>70</v>
      </c>
      <c r="D51" s="7">
        <v>78.38</v>
      </c>
      <c r="E51" s="7">
        <v>89.06</v>
      </c>
      <c r="F51" s="7">
        <v>97.62</v>
      </c>
      <c r="G51" s="7">
        <v>80.45</v>
      </c>
      <c r="H51" s="7">
        <v>89.85</v>
      </c>
      <c r="I51" s="7">
        <v>85.79</v>
      </c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3:26">
      <c r="C52" s="6" t="s">
        <v>72</v>
      </c>
      <c r="D52" s="4">
        <f>AVERAGE(D49:D51)</f>
        <v>79.73</v>
      </c>
      <c r="E52" s="4">
        <f t="shared" ref="E52" si="31">AVERAGE(E49:E51)</f>
        <v>84.376666666666665</v>
      </c>
      <c r="F52" s="4">
        <f t="shared" ref="F52" si="32">AVERAGE(F49:F51)</f>
        <v>99.206666666666663</v>
      </c>
      <c r="G52" s="4">
        <f t="shared" ref="G52" si="33">AVERAGE(G49:G51)</f>
        <v>78.586666666666659</v>
      </c>
      <c r="H52" s="4">
        <f t="shared" ref="H52" si="34">AVERAGE(H49:H51)</f>
        <v>88.323333333333338</v>
      </c>
      <c r="I52" s="4">
        <f>AVERAGE(I49:I51)</f>
        <v>84.410000000000011</v>
      </c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3:26">
      <c r="C53" s="5" t="s">
        <v>73</v>
      </c>
      <c r="D53" s="5">
        <f>_xlfn.STDEV.S(D49:D51)</f>
        <v>1.3500000000000014</v>
      </c>
      <c r="E53" s="5">
        <f t="shared" ref="E53:I53" si="35">_xlfn.STDEV.S(E49:E51)</f>
        <v>4.6850008893631339</v>
      </c>
      <c r="F53" s="5">
        <f t="shared" si="35"/>
        <v>1.3740936406713067</v>
      </c>
      <c r="G53" s="5">
        <f t="shared" si="35"/>
        <v>1.9614365483831806</v>
      </c>
      <c r="H53" s="5">
        <f t="shared" si="35"/>
        <v>1.8332848478437036</v>
      </c>
      <c r="I53" s="5">
        <f t="shared" si="35"/>
        <v>1.6724831837719667</v>
      </c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3:26"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3:26">
      <c r="C55" s="7" t="s">
        <v>84</v>
      </c>
      <c r="D55">
        <v>94.59</v>
      </c>
      <c r="E55">
        <v>89.06</v>
      </c>
      <c r="F55">
        <v>97.62</v>
      </c>
      <c r="G55">
        <v>67.59</v>
      </c>
      <c r="H55">
        <v>65.48</v>
      </c>
      <c r="I55">
        <v>75.180000000000007</v>
      </c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3:26">
      <c r="C56" s="7" t="s">
        <v>85</v>
      </c>
      <c r="D56">
        <v>89.19</v>
      </c>
      <c r="E56">
        <v>89.06</v>
      </c>
      <c r="F56">
        <v>95.24</v>
      </c>
      <c r="G56">
        <v>77.650000000000006</v>
      </c>
      <c r="H56">
        <v>81.73</v>
      </c>
      <c r="I56">
        <v>83.27</v>
      </c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3:26">
      <c r="C57" s="7" t="s">
        <v>86</v>
      </c>
      <c r="D57">
        <v>79.73</v>
      </c>
      <c r="E57">
        <v>84.38</v>
      </c>
      <c r="F57">
        <v>97.62</v>
      </c>
      <c r="G57">
        <v>76.540000000000006</v>
      </c>
      <c r="H57">
        <v>85.79</v>
      </c>
      <c r="I57">
        <v>82.73</v>
      </c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3:26">
      <c r="C58" s="6" t="s">
        <v>87</v>
      </c>
      <c r="D58" s="4">
        <f>AVERAGE(D55:D57)</f>
        <v>87.836666666666659</v>
      </c>
      <c r="E58" s="4">
        <f t="shared" ref="E58:H58" si="36">AVERAGE(E55:E57)</f>
        <v>87.5</v>
      </c>
      <c r="F58" s="4">
        <f t="shared" si="36"/>
        <v>96.826666666666668</v>
      </c>
      <c r="G58" s="4">
        <f t="shared" si="36"/>
        <v>73.926666666666677</v>
      </c>
      <c r="H58" s="4">
        <f t="shared" si="36"/>
        <v>77.666666666666671</v>
      </c>
      <c r="I58" s="4">
        <f>AVERAGE(I55:I57)</f>
        <v>80.393333333333331</v>
      </c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3:26">
      <c r="C59" s="5" t="s">
        <v>73</v>
      </c>
      <c r="D59" s="5">
        <f>_xlfn.STDEV.S(D55:D57)</f>
        <v>7.5218703347859783</v>
      </c>
      <c r="E59" s="5">
        <f t="shared" ref="E59:I59" si="37">_xlfn.STDEV.S(E55:E57)</f>
        <v>2.7019992598074527</v>
      </c>
      <c r="F59" s="5">
        <f t="shared" si="37"/>
        <v>1.3740936406713149</v>
      </c>
      <c r="G59" s="5">
        <f t="shared" si="37"/>
        <v>5.5157078723708119</v>
      </c>
      <c r="H59" s="5">
        <f t="shared" si="37"/>
        <v>10.747419845401739</v>
      </c>
      <c r="I59" s="5">
        <f t="shared" si="37"/>
        <v>4.5229452056523192</v>
      </c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3:26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3:26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3:26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3:26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3:26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3:26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3:26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3:26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3:26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3:26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3:26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3:26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</sheetData>
  <phoneticPr fontId="5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3:Q57"/>
  <sheetViews>
    <sheetView zoomScaleNormal="100" zoomScaleSheetLayoutView="100" workbookViewId="0">
      <selection activeCell="K6" sqref="K6:Q7"/>
    </sheetView>
  </sheetViews>
  <sheetFormatPr defaultColWidth="8.6640625" defaultRowHeight="17"/>
  <sheetData>
    <row r="3" spans="2:17">
      <c r="B3" t="s">
        <v>53</v>
      </c>
    </row>
    <row r="4" spans="2:17">
      <c r="B4" t="s">
        <v>57</v>
      </c>
      <c r="K4" t="s">
        <v>52</v>
      </c>
    </row>
    <row r="5" spans="2:17">
      <c r="B5" t="s">
        <v>47</v>
      </c>
      <c r="K5" t="s">
        <v>62</v>
      </c>
    </row>
    <row r="6" spans="2:17">
      <c r="B6" t="s">
        <v>29</v>
      </c>
      <c r="C6" t="s">
        <v>49</v>
      </c>
      <c r="D6" t="s">
        <v>54</v>
      </c>
      <c r="E6" t="s">
        <v>10</v>
      </c>
      <c r="F6" t="s">
        <v>18</v>
      </c>
      <c r="G6" t="s">
        <v>36</v>
      </c>
      <c r="H6" t="s">
        <v>0</v>
      </c>
      <c r="K6" t="s">
        <v>29</v>
      </c>
      <c r="L6" t="s">
        <v>49</v>
      </c>
      <c r="M6" t="s">
        <v>54</v>
      </c>
      <c r="N6" t="s">
        <v>10</v>
      </c>
      <c r="O6" t="s">
        <v>18</v>
      </c>
      <c r="P6" t="s">
        <v>36</v>
      </c>
      <c r="Q6" t="s">
        <v>0</v>
      </c>
    </row>
    <row r="7" spans="2:17">
      <c r="B7" t="s">
        <v>27</v>
      </c>
      <c r="C7">
        <v>61.43</v>
      </c>
      <c r="D7" s="1">
        <v>71.430000000000007</v>
      </c>
      <c r="E7" s="1">
        <v>86.49</v>
      </c>
      <c r="F7">
        <v>87.22</v>
      </c>
      <c r="G7">
        <v>79.33</v>
      </c>
      <c r="H7">
        <v>79.099999999999994</v>
      </c>
      <c r="K7" t="s">
        <v>24</v>
      </c>
      <c r="L7">
        <v>82.86</v>
      </c>
      <c r="M7">
        <v>74.290000000000006</v>
      </c>
      <c r="N7">
        <v>89.19</v>
      </c>
      <c r="O7">
        <v>92.22</v>
      </c>
      <c r="P7">
        <v>89.94</v>
      </c>
      <c r="Q7">
        <v>87.69</v>
      </c>
    </row>
    <row r="8" spans="2:17">
      <c r="B8" t="s">
        <v>20</v>
      </c>
      <c r="C8">
        <v>77.14</v>
      </c>
      <c r="D8">
        <v>62.86</v>
      </c>
      <c r="E8">
        <v>75.680000000000007</v>
      </c>
      <c r="F8">
        <v>87.22</v>
      </c>
      <c r="G8" s="1">
        <v>85.47</v>
      </c>
      <c r="H8">
        <v>81.34</v>
      </c>
    </row>
    <row r="9" spans="2:17">
      <c r="B9" t="s">
        <v>35</v>
      </c>
      <c r="C9">
        <v>65.709999999999994</v>
      </c>
      <c r="D9">
        <v>64.290000000000006</v>
      </c>
      <c r="E9">
        <v>81.08</v>
      </c>
      <c r="F9">
        <v>82.22</v>
      </c>
      <c r="G9">
        <v>68.72</v>
      </c>
      <c r="H9">
        <v>73.13</v>
      </c>
    </row>
    <row r="10" spans="2:17">
      <c r="B10" t="s">
        <v>14</v>
      </c>
      <c r="C10">
        <v>77.14</v>
      </c>
      <c r="D10">
        <v>62.86</v>
      </c>
      <c r="E10" s="1">
        <v>86.49</v>
      </c>
      <c r="F10">
        <v>80</v>
      </c>
      <c r="G10">
        <v>81.010000000000005</v>
      </c>
      <c r="H10">
        <v>78.17</v>
      </c>
      <c r="K10" t="s">
        <v>43</v>
      </c>
    </row>
    <row r="11" spans="2:17">
      <c r="B11" t="s">
        <v>61</v>
      </c>
      <c r="C11">
        <v>64.290000000000006</v>
      </c>
      <c r="D11">
        <v>48.57</v>
      </c>
      <c r="E11">
        <v>75.680000000000007</v>
      </c>
      <c r="F11">
        <v>78.89</v>
      </c>
      <c r="G11">
        <v>73.180000000000007</v>
      </c>
      <c r="H11">
        <v>70.900000000000006</v>
      </c>
      <c r="K11" t="s">
        <v>29</v>
      </c>
      <c r="L11" t="s">
        <v>49</v>
      </c>
      <c r="M11" t="s">
        <v>54</v>
      </c>
      <c r="N11" t="s">
        <v>10</v>
      </c>
      <c r="O11" t="s">
        <v>18</v>
      </c>
      <c r="P11" t="s">
        <v>36</v>
      </c>
      <c r="Q11" t="s">
        <v>0</v>
      </c>
    </row>
    <row r="12" spans="2:17">
      <c r="B12" t="s">
        <v>24</v>
      </c>
      <c r="C12" s="1">
        <v>82.86</v>
      </c>
      <c r="D12">
        <v>62.86</v>
      </c>
      <c r="E12">
        <v>83.78</v>
      </c>
      <c r="F12" s="1">
        <v>90.56</v>
      </c>
      <c r="G12">
        <v>84.36</v>
      </c>
      <c r="H12">
        <v>83.4</v>
      </c>
      <c r="K12" t="s">
        <v>24</v>
      </c>
      <c r="L12">
        <v>85.71</v>
      </c>
      <c r="M12">
        <v>70</v>
      </c>
      <c r="N12">
        <v>86.49</v>
      </c>
      <c r="O12">
        <v>92.22</v>
      </c>
      <c r="P12">
        <v>92.18</v>
      </c>
      <c r="Q12">
        <v>88.06</v>
      </c>
    </row>
    <row r="15" spans="2:17">
      <c r="K15" t="s">
        <v>48</v>
      </c>
    </row>
    <row r="16" spans="2:17">
      <c r="K16" t="s">
        <v>29</v>
      </c>
      <c r="L16" t="s">
        <v>49</v>
      </c>
      <c r="M16" t="s">
        <v>54</v>
      </c>
      <c r="N16" t="s">
        <v>10</v>
      </c>
      <c r="O16" t="s">
        <v>18</v>
      </c>
      <c r="P16" t="s">
        <v>36</v>
      </c>
      <c r="Q16" t="s">
        <v>0</v>
      </c>
    </row>
    <row r="17" spans="11:17">
      <c r="K17" t="s">
        <v>24</v>
      </c>
      <c r="L17">
        <v>85.71</v>
      </c>
      <c r="M17">
        <v>71.430000000000007</v>
      </c>
      <c r="N17">
        <v>89.19</v>
      </c>
      <c r="O17">
        <v>90.56</v>
      </c>
      <c r="P17">
        <v>93.3</v>
      </c>
      <c r="Q17">
        <v>88.25</v>
      </c>
    </row>
    <row r="20" spans="11:17">
      <c r="K20" t="s">
        <v>44</v>
      </c>
    </row>
    <row r="21" spans="11:17">
      <c r="K21" t="s">
        <v>29</v>
      </c>
      <c r="L21" t="s">
        <v>49</v>
      </c>
      <c r="M21" t="s">
        <v>54</v>
      </c>
      <c r="N21" t="s">
        <v>10</v>
      </c>
      <c r="O21" t="s">
        <v>18</v>
      </c>
      <c r="P21" t="s">
        <v>36</v>
      </c>
      <c r="Q21" t="s">
        <v>0</v>
      </c>
    </row>
    <row r="22" spans="11:17">
      <c r="K22" t="s">
        <v>24</v>
      </c>
      <c r="L22">
        <v>87.14</v>
      </c>
      <c r="M22">
        <v>70</v>
      </c>
      <c r="N22">
        <v>89.19</v>
      </c>
      <c r="O22">
        <v>91.67</v>
      </c>
      <c r="P22">
        <v>92.74</v>
      </c>
      <c r="Q22">
        <v>88.43</v>
      </c>
    </row>
    <row r="25" spans="11:17">
      <c r="K25" t="s">
        <v>47</v>
      </c>
    </row>
    <row r="26" spans="11:17">
      <c r="K26" t="s">
        <v>29</v>
      </c>
      <c r="L26" t="s">
        <v>49</v>
      </c>
      <c r="M26" t="s">
        <v>54</v>
      </c>
      <c r="N26" t="s">
        <v>10</v>
      </c>
      <c r="O26" t="s">
        <v>18</v>
      </c>
      <c r="P26" t="s">
        <v>36</v>
      </c>
      <c r="Q26" t="s">
        <v>0</v>
      </c>
    </row>
    <row r="27" spans="11:17">
      <c r="K27" t="s">
        <v>24</v>
      </c>
      <c r="L27">
        <v>84.29</v>
      </c>
      <c r="M27">
        <v>71.430000000000007</v>
      </c>
      <c r="N27">
        <v>89.19</v>
      </c>
      <c r="O27">
        <v>91.11</v>
      </c>
      <c r="P27">
        <v>91.62</v>
      </c>
      <c r="Q27">
        <v>87.69</v>
      </c>
    </row>
    <row r="30" spans="11:17">
      <c r="K30" t="s">
        <v>59</v>
      </c>
    </row>
    <row r="31" spans="11:17">
      <c r="K31" t="s">
        <v>29</v>
      </c>
      <c r="L31" t="s">
        <v>49</v>
      </c>
      <c r="M31" t="s">
        <v>54</v>
      </c>
      <c r="N31" t="s">
        <v>10</v>
      </c>
      <c r="O31" t="s">
        <v>18</v>
      </c>
      <c r="P31" t="s">
        <v>36</v>
      </c>
      <c r="Q31" t="s">
        <v>0</v>
      </c>
    </row>
    <row r="32" spans="11:17">
      <c r="K32" t="s">
        <v>24</v>
      </c>
      <c r="L32">
        <v>82.86</v>
      </c>
      <c r="M32">
        <v>72.86</v>
      </c>
      <c r="N32">
        <v>94.59</v>
      </c>
      <c r="O32">
        <v>92.22</v>
      </c>
      <c r="P32">
        <v>92.74</v>
      </c>
      <c r="Q32">
        <v>88.81</v>
      </c>
    </row>
    <row r="35" spans="11:17">
      <c r="K35" t="s">
        <v>55</v>
      </c>
    </row>
    <row r="36" spans="11:17">
      <c r="K36" t="s">
        <v>29</v>
      </c>
      <c r="L36" t="s">
        <v>49</v>
      </c>
      <c r="M36" t="s">
        <v>54</v>
      </c>
      <c r="N36" t="s">
        <v>10</v>
      </c>
      <c r="O36" t="s">
        <v>18</v>
      </c>
      <c r="P36" t="s">
        <v>36</v>
      </c>
      <c r="Q36" t="s">
        <v>0</v>
      </c>
    </row>
    <row r="37" spans="11:17">
      <c r="K37" t="s">
        <v>24</v>
      </c>
    </row>
    <row r="40" spans="11:17">
      <c r="K40" t="s">
        <v>64</v>
      </c>
    </row>
    <row r="41" spans="11:17">
      <c r="K41" t="s">
        <v>29</v>
      </c>
      <c r="L41" t="s">
        <v>49</v>
      </c>
      <c r="M41" t="s">
        <v>54</v>
      </c>
      <c r="N41" t="s">
        <v>10</v>
      </c>
      <c r="O41" t="s">
        <v>18</v>
      </c>
      <c r="P41" t="s">
        <v>36</v>
      </c>
      <c r="Q41" t="s">
        <v>0</v>
      </c>
    </row>
    <row r="42" spans="11:17">
      <c r="K42" t="s">
        <v>24</v>
      </c>
    </row>
    <row r="45" spans="11:17">
      <c r="K45" t="s">
        <v>56</v>
      </c>
    </row>
    <row r="46" spans="11:17">
      <c r="K46" t="s">
        <v>29</v>
      </c>
      <c r="L46" t="s">
        <v>49</v>
      </c>
      <c r="M46" t="s">
        <v>54</v>
      </c>
      <c r="N46" t="s">
        <v>10</v>
      </c>
      <c r="O46" t="s">
        <v>18</v>
      </c>
      <c r="P46" t="s">
        <v>36</v>
      </c>
      <c r="Q46" t="s">
        <v>0</v>
      </c>
    </row>
    <row r="47" spans="11:17">
      <c r="K47" t="s">
        <v>24</v>
      </c>
    </row>
    <row r="50" spans="11:17">
      <c r="K50" t="s">
        <v>51</v>
      </c>
    </row>
    <row r="51" spans="11:17">
      <c r="K51" t="s">
        <v>29</v>
      </c>
      <c r="L51" t="s">
        <v>49</v>
      </c>
      <c r="M51" t="s">
        <v>54</v>
      </c>
      <c r="N51" t="s">
        <v>10</v>
      </c>
      <c r="O51" t="s">
        <v>18</v>
      </c>
      <c r="P51" t="s">
        <v>36</v>
      </c>
      <c r="Q51" t="s">
        <v>0</v>
      </c>
    </row>
    <row r="52" spans="11:17">
      <c r="K52" t="s">
        <v>24</v>
      </c>
      <c r="L52">
        <v>78.569999999999993</v>
      </c>
      <c r="M52">
        <v>74.290000000000006</v>
      </c>
      <c r="N52">
        <v>89.19</v>
      </c>
      <c r="O52">
        <v>90</v>
      </c>
      <c r="P52">
        <v>85.47</v>
      </c>
      <c r="Q52">
        <v>84.89</v>
      </c>
    </row>
    <row r="55" spans="11:17">
      <c r="K55" t="s">
        <v>60</v>
      </c>
    </row>
    <row r="56" spans="11:17">
      <c r="K56" t="s">
        <v>29</v>
      </c>
      <c r="L56" t="s">
        <v>49</v>
      </c>
      <c r="M56" t="s">
        <v>54</v>
      </c>
      <c r="N56" t="s">
        <v>10</v>
      </c>
      <c r="O56" t="s">
        <v>18</v>
      </c>
      <c r="P56" t="s">
        <v>36</v>
      </c>
      <c r="Q56" t="s">
        <v>0</v>
      </c>
    </row>
    <row r="57" spans="11:17">
      <c r="K57" t="s">
        <v>24</v>
      </c>
    </row>
  </sheetData>
  <phoneticPr fontId="5" type="noConversion"/>
  <pageMargins left="0.69972223043441772" right="0.69972223043441772" top="0.75" bottom="0.75" header="0.30000001192092896" footer="0.30000001192092896"/>
  <pageSetup paperSize="9" fitToWidth="0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757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johs</dc:creator>
  <cp:lastModifiedBy>조형섭</cp:lastModifiedBy>
  <cp:revision>24</cp:revision>
  <dcterms:created xsi:type="dcterms:W3CDTF">2015-06-05T18:19:34Z</dcterms:created>
  <dcterms:modified xsi:type="dcterms:W3CDTF">2025-09-11T13:16:43Z</dcterms:modified>
  <cp:version>1200.0100.01</cp:version>
</cp:coreProperties>
</file>